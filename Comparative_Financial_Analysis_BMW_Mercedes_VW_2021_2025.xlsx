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Comparative Financial Analysis -Common-Size Statements, Financial Ratios, and 3-Step DuPont Analysis/"/>
    </mc:Choice>
  </mc:AlternateContent>
  <xr:revisionPtr revIDLastSave="2635" documentId="13_ncr:1_{1C83D250-DE02-434D-B1EE-9CB3FAAD8D70}" xr6:coauthVersionLast="47" xr6:coauthVersionMax="47" xr10:uidLastSave="{8F54728A-5F4B-4C9A-86ED-60163068219C}"/>
  <workbookProtection workbookAlgorithmName="SHA-512" workbookHashValue="UkKhEhWzYSBId5cfaQGG+aagD83WnTaIpWPRQoqyFZskc7PLzq+ziMNEzPw0QqSxi5HqjtcE5apfzvzwbfOf7w==" workbookSaltValue="S2aZPFQt3VCO7RVdoeGbsA==" workbookSpinCount="100000" lockStructure="1"/>
  <bookViews>
    <workbookView xWindow="-120" yWindow="-120" windowWidth="29040" windowHeight="15720" firstSheet="4" activeTab="11" xr2:uid="{4DA3451D-342E-420E-A081-4E7BECB2D279}"/>
  </bookViews>
  <sheets>
    <sheet name="Introduction" sheetId="16" r:id="rId1"/>
    <sheet name="01_Raw_Data_BMW" sheetId="1" r:id="rId2"/>
    <sheet name="01_Raw_Data_Mercedes" sheetId="2" r:id="rId3"/>
    <sheet name="01_Raw_Data_Volkswagen" sheetId="3" r:id="rId4"/>
    <sheet name="01_All_Raw_Data" sheetId="8" r:id="rId5"/>
    <sheet name="02_Common_Size_IS_BS" sheetId="4" r:id="rId6"/>
    <sheet name="02_Common_Size_Output" sheetId="9" r:id="rId7"/>
    <sheet name="03_Ratios" sheetId="6" r:id="rId8"/>
    <sheet name="04_DuPont" sheetId="11" r:id="rId9"/>
    <sheet name="05_Result" sheetId="12" r:id="rId10"/>
    <sheet name="06_Growth" sheetId="13" r:id="rId11"/>
    <sheet name="07_Summary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6" i="15" l="1"/>
  <c r="D7" i="13"/>
  <c r="N36" i="15" a="1"/>
  <c r="N36" i="15" s="1"/>
  <c r="M36" i="15" a="1"/>
  <c r="M36" i="15" s="1"/>
  <c r="L36" i="15" a="1"/>
  <c r="L36" i="15" s="1"/>
  <c r="K36" i="15" a="1"/>
  <c r="K36" i="15" s="1"/>
  <c r="J36" i="15" a="1"/>
  <c r="J36" i="15" s="1"/>
  <c r="N35" i="15" a="1"/>
  <c r="N35" i="15" s="1"/>
  <c r="M35" i="15" a="1"/>
  <c r="M35" i="15" s="1"/>
  <c r="L35" i="15" a="1"/>
  <c r="L35" i="15" s="1"/>
  <c r="K35" i="15" a="1"/>
  <c r="K35" i="15" s="1"/>
  <c r="J35" i="15" a="1"/>
  <c r="J35" i="15" s="1"/>
  <c r="N34" i="15" a="1"/>
  <c r="N34" i="15" s="1"/>
  <c r="M34" i="15" a="1"/>
  <c r="M34" i="15" s="1"/>
  <c r="L34" i="15" a="1"/>
  <c r="L34" i="15" s="1"/>
  <c r="K34" i="15" a="1"/>
  <c r="K34" i="15" s="1"/>
  <c r="J34" i="15" a="1"/>
  <c r="J34" i="15"/>
  <c r="N7" i="15" a="1"/>
  <c r="N7" i="15" s="1"/>
  <c r="M7" i="15" a="1"/>
  <c r="M7" i="15" s="1"/>
  <c r="L7" i="15" a="1"/>
  <c r="L7" i="15" s="1"/>
  <c r="K7" i="15" a="1"/>
  <c r="K7" i="15" s="1"/>
  <c r="J7" i="15" a="1"/>
  <c r="J7" i="15" s="1"/>
  <c r="N6" i="15" a="1"/>
  <c r="N6" i="15" s="1"/>
  <c r="M6" i="15" a="1"/>
  <c r="M6" i="15" s="1"/>
  <c r="L6" i="15" a="1"/>
  <c r="L6" i="15" s="1"/>
  <c r="K6" i="15" a="1"/>
  <c r="K6" i="15" s="1"/>
  <c r="J6" i="15" a="1"/>
  <c r="J6" i="15" s="1"/>
  <c r="N5" i="15" a="1"/>
  <c r="N5" i="15" s="1"/>
  <c r="M5" i="15" a="1"/>
  <c r="M5" i="15" s="1"/>
  <c r="L5" i="15" a="1"/>
  <c r="L5" i="15" s="1"/>
  <c r="K5" i="15" a="1"/>
  <c r="K5" i="15" s="1"/>
  <c r="J5" i="15" a="1"/>
  <c r="J5" i="15" s="1"/>
  <c r="G43" i="15"/>
  <c r="F43" i="15"/>
  <c r="E43" i="15"/>
  <c r="D43" i="15"/>
  <c r="C43" i="15"/>
  <c r="G42" i="15"/>
  <c r="F42" i="15"/>
  <c r="E42" i="15"/>
  <c r="D42" i="15"/>
  <c r="C42" i="15"/>
  <c r="G41" i="15"/>
  <c r="F41" i="15"/>
  <c r="E41" i="15"/>
  <c r="D41" i="15"/>
  <c r="C41" i="15"/>
  <c r="G40" i="15"/>
  <c r="F40" i="15"/>
  <c r="E40" i="15"/>
  <c r="D40" i="15"/>
  <c r="C40" i="15"/>
  <c r="G39" i="15"/>
  <c r="F39" i="15"/>
  <c r="E39" i="15"/>
  <c r="D39" i="15"/>
  <c r="C39" i="15"/>
  <c r="G38" i="15"/>
  <c r="F38" i="15"/>
  <c r="E38" i="15"/>
  <c r="D38" i="15"/>
  <c r="C38" i="15"/>
  <c r="G37" i="15"/>
  <c r="F37" i="15"/>
  <c r="E37" i="15"/>
  <c r="D37" i="15"/>
  <c r="C37" i="15"/>
  <c r="G36" i="15"/>
  <c r="F36" i="15"/>
  <c r="E36" i="15"/>
  <c r="C36" i="15"/>
  <c r="G35" i="15"/>
  <c r="F35" i="15"/>
  <c r="E35" i="15"/>
  <c r="D35" i="15"/>
  <c r="C35" i="15"/>
  <c r="G34" i="15"/>
  <c r="F34" i="15"/>
  <c r="E34" i="15"/>
  <c r="D34" i="15"/>
  <c r="C34" i="15"/>
  <c r="G33" i="15"/>
  <c r="F33" i="15"/>
  <c r="E33" i="15"/>
  <c r="D33" i="15"/>
  <c r="C33" i="15"/>
  <c r="G32" i="15"/>
  <c r="F32" i="15"/>
  <c r="E32" i="15"/>
  <c r="D32" i="15"/>
  <c r="C32" i="15"/>
  <c r="G23" i="15" a="1"/>
  <c r="G23" i="15" s="1"/>
  <c r="F23" i="15" a="1"/>
  <c r="F23" i="15" s="1"/>
  <c r="E23" i="15" a="1"/>
  <c r="E23" i="15" s="1"/>
  <c r="D23" i="15" a="1"/>
  <c r="D23" i="15" s="1"/>
  <c r="C23" i="15" a="1"/>
  <c r="C23" i="15" s="1"/>
  <c r="G22" i="15" a="1"/>
  <c r="G22" i="15" s="1"/>
  <c r="F22" i="15" a="1"/>
  <c r="F22" i="15" s="1"/>
  <c r="E22" i="15"/>
  <c r="E22" i="15" a="1"/>
  <c r="D22" i="15" a="1"/>
  <c r="D22" i="15" s="1"/>
  <c r="C22" i="15" a="1"/>
  <c r="C22" i="15" s="1"/>
  <c r="G21" i="15" a="1"/>
  <c r="G21" i="15" s="1"/>
  <c r="F21" i="15" a="1"/>
  <c r="F21" i="15" s="1"/>
  <c r="E21" i="15" a="1"/>
  <c r="E21" i="15" s="1"/>
  <c r="D21" i="15" a="1"/>
  <c r="D21" i="15" s="1"/>
  <c r="C21" i="15" a="1"/>
  <c r="C21" i="15" s="1"/>
  <c r="G20" i="15" a="1"/>
  <c r="G20" i="15" s="1"/>
  <c r="F20" i="15" a="1"/>
  <c r="F20" i="15" s="1"/>
  <c r="E20" i="15" a="1"/>
  <c r="E20" i="15" s="1"/>
  <c r="D20" i="15" a="1"/>
  <c r="D20" i="15" s="1"/>
  <c r="C20" i="15" a="1"/>
  <c r="C20" i="15" s="1"/>
  <c r="G19" i="15" a="1"/>
  <c r="G19" i="15" s="1"/>
  <c r="F19" i="15" a="1"/>
  <c r="F19" i="15" s="1"/>
  <c r="E19" i="15" a="1"/>
  <c r="E19" i="15" s="1"/>
  <c r="D19" i="15" a="1"/>
  <c r="D19" i="15" s="1"/>
  <c r="C19" i="15" a="1"/>
  <c r="C19" i="15" s="1"/>
  <c r="G18" i="15"/>
  <c r="G18" i="15" a="1"/>
  <c r="F18" i="15" a="1"/>
  <c r="F18" i="15" s="1"/>
  <c r="E18" i="15" a="1"/>
  <c r="E18" i="15" s="1"/>
  <c r="D18" i="15" a="1"/>
  <c r="D18" i="15" s="1"/>
  <c r="C18" i="15" a="1"/>
  <c r="C18" i="15" s="1"/>
  <c r="G17" i="15" a="1"/>
  <c r="G17" i="15" s="1"/>
  <c r="F17" i="15" a="1"/>
  <c r="F17" i="15" s="1"/>
  <c r="E17" i="15" a="1"/>
  <c r="E17" i="15" s="1"/>
  <c r="D17" i="15" a="1"/>
  <c r="D17" i="15" s="1"/>
  <c r="C17" i="15" a="1"/>
  <c r="C17" i="15" s="1"/>
  <c r="G16" i="15" a="1"/>
  <c r="G16" i="15" s="1"/>
  <c r="F16" i="15" a="1"/>
  <c r="F16" i="15" s="1"/>
  <c r="E16" i="15" a="1"/>
  <c r="E16" i="15" s="1"/>
  <c r="D16" i="15" a="1"/>
  <c r="D16" i="15" s="1"/>
  <c r="C16" i="15" a="1"/>
  <c r="C16" i="15" s="1"/>
  <c r="G15" i="15" a="1"/>
  <c r="G15" i="15" s="1"/>
  <c r="F15" i="15" a="1"/>
  <c r="F15" i="15" s="1"/>
  <c r="E15" i="15" a="1"/>
  <c r="E15" i="15" s="1"/>
  <c r="D15" i="15" a="1"/>
  <c r="D15" i="15" s="1"/>
  <c r="C15" i="15" a="1"/>
  <c r="C15" i="15" s="1"/>
  <c r="G14" i="15" a="1"/>
  <c r="G14" i="15" s="1"/>
  <c r="F14" i="15" a="1"/>
  <c r="F14" i="15" s="1"/>
  <c r="E14" i="15" a="1"/>
  <c r="E14" i="15" s="1"/>
  <c r="D14" i="15" a="1"/>
  <c r="D14" i="15" s="1"/>
  <c r="C14" i="15"/>
  <c r="C14" i="15" a="1"/>
  <c r="G13" i="15" a="1"/>
  <c r="G13" i="15" s="1"/>
  <c r="F13" i="15" a="1"/>
  <c r="F13" i="15" s="1"/>
  <c r="E13" i="15" a="1"/>
  <c r="E13" i="15" s="1"/>
  <c r="D13" i="15" a="1"/>
  <c r="D13" i="15" s="1"/>
  <c r="C13" i="15" a="1"/>
  <c r="C13" i="15" s="1"/>
  <c r="G12" i="15"/>
  <c r="G12" i="15" a="1"/>
  <c r="F12" i="15" a="1"/>
  <c r="F12" i="15" s="1"/>
  <c r="E12" i="15" a="1"/>
  <c r="E12" i="15" s="1"/>
  <c r="D12" i="15" a="1"/>
  <c r="D12" i="15" s="1"/>
  <c r="C12" i="15" a="1"/>
  <c r="C12" i="15" s="1"/>
  <c r="G11" i="15" a="1"/>
  <c r="G11" i="15" s="1"/>
  <c r="F11" i="15"/>
  <c r="F11" i="15" a="1"/>
  <c r="E11" i="15" a="1"/>
  <c r="E11" i="15" s="1"/>
  <c r="D11" i="15" a="1"/>
  <c r="D11" i="15" s="1"/>
  <c r="C11" i="15" a="1"/>
  <c r="C11" i="15" s="1"/>
  <c r="G10" i="15" a="1"/>
  <c r="G10" i="15" s="1"/>
  <c r="F10" i="15" a="1"/>
  <c r="F10" i="15" s="1"/>
  <c r="E10" i="15"/>
  <c r="E10" i="15" a="1"/>
  <c r="D10" i="15" a="1"/>
  <c r="D10" i="15" s="1"/>
  <c r="C10" i="15" a="1"/>
  <c r="C10" i="15" s="1"/>
  <c r="G9" i="15" a="1"/>
  <c r="G9" i="15" s="1"/>
  <c r="F9" i="15" a="1"/>
  <c r="F9" i="15" s="1"/>
  <c r="E9" i="15" a="1"/>
  <c r="E9" i="15" s="1"/>
  <c r="D9" i="15"/>
  <c r="D9" i="15" a="1"/>
  <c r="C9" i="15" a="1"/>
  <c r="C9" i="15" s="1"/>
  <c r="G8" i="15" a="1"/>
  <c r="G8" i="15" s="1"/>
  <c r="F8" i="15" a="1"/>
  <c r="F8" i="15" s="1"/>
  <c r="E8" i="15" a="1"/>
  <c r="E8" i="15" s="1"/>
  <c r="D8" i="15" a="1"/>
  <c r="D8" i="15" s="1"/>
  <c r="C8" i="15"/>
  <c r="C8" i="15" a="1"/>
  <c r="G7" i="15" a="1"/>
  <c r="G7" i="15" s="1"/>
  <c r="F7" i="15" a="1"/>
  <c r="F7" i="15" s="1"/>
  <c r="E7" i="15" a="1"/>
  <c r="E7" i="15" s="1"/>
  <c r="D7" i="15" a="1"/>
  <c r="D7" i="15" s="1"/>
  <c r="C7" i="15" a="1"/>
  <c r="C7" i="15" s="1"/>
  <c r="G6" i="15" a="1"/>
  <c r="G6" i="15" s="1"/>
  <c r="F6" i="15" a="1"/>
  <c r="F6" i="15" s="1"/>
  <c r="E6" i="15" a="1"/>
  <c r="E6" i="15" s="1"/>
  <c r="D6" i="15" a="1"/>
  <c r="D6" i="15" s="1"/>
  <c r="C6" i="15" a="1"/>
  <c r="C6" i="15" s="1"/>
  <c r="G5" i="15" a="1"/>
  <c r="G5" i="15" s="1"/>
  <c r="F5" i="15" a="1"/>
  <c r="F5" i="15" s="1"/>
  <c r="E5" i="15" a="1"/>
  <c r="E5" i="15" s="1"/>
  <c r="D5" i="15" a="1"/>
  <c r="D5" i="15" s="1"/>
  <c r="C5" i="15" a="1"/>
  <c r="C5" i="15" s="1"/>
  <c r="G4" i="15" a="1"/>
  <c r="G4" i="15" s="1"/>
  <c r="F4" i="15" a="1"/>
  <c r="F4" i="15" s="1"/>
  <c r="E4" i="15" a="1"/>
  <c r="E4" i="15" s="1"/>
  <c r="D4" i="15" a="1"/>
  <c r="D4" i="15" s="1"/>
  <c r="C4" i="15" a="1"/>
  <c r="C4" i="15" s="1"/>
  <c r="G3" i="15" a="1"/>
  <c r="G3" i="15" s="1"/>
  <c r="F3" i="15" a="1"/>
  <c r="F3" i="15" s="1"/>
  <c r="E3" i="15" a="1"/>
  <c r="E3" i="15" s="1"/>
  <c r="D3" i="15" a="1"/>
  <c r="D3" i="15" s="1"/>
  <c r="C3" i="15" a="1"/>
  <c r="C3" i="15" s="1"/>
  <c r="M5" i="13" a="1"/>
  <c r="M5" i="13" s="1"/>
  <c r="N5" i="13" a="1"/>
  <c r="N5" i="13"/>
  <c r="J6" i="13" a="1"/>
  <c r="J6" i="13" s="1"/>
  <c r="K6" i="13" a="1"/>
  <c r="K6" i="13" s="1"/>
  <c r="M6" i="13" a="1"/>
  <c r="M6" i="13"/>
  <c r="K7" i="13" a="1"/>
  <c r="K7" i="13" s="1"/>
  <c r="N7" i="12" a="1"/>
  <c r="N7" i="12" s="1"/>
  <c r="M7" i="12" a="1"/>
  <c r="M7" i="12" s="1"/>
  <c r="L7" i="12" a="1"/>
  <c r="L7" i="12" s="1"/>
  <c r="K7" i="12" a="1"/>
  <c r="K7" i="12" s="1"/>
  <c r="N6" i="12" a="1"/>
  <c r="N6" i="12" s="1"/>
  <c r="M6" i="12" a="1"/>
  <c r="M6" i="12" s="1"/>
  <c r="L6" i="12" a="1"/>
  <c r="L6" i="12" s="1"/>
  <c r="K6" i="12" a="1"/>
  <c r="K6" i="12" s="1"/>
  <c r="N5" i="12" a="1"/>
  <c r="N5" i="12" s="1"/>
  <c r="M5" i="12" a="1"/>
  <c r="M5" i="12" s="1"/>
  <c r="L5" i="12" a="1"/>
  <c r="L5" i="12" s="1"/>
  <c r="K5" i="12" a="1"/>
  <c r="K5" i="12" s="1"/>
  <c r="J7" i="12" a="1"/>
  <c r="J7" i="12" s="1"/>
  <c r="J6" i="12" a="1"/>
  <c r="J6" i="12" s="1"/>
  <c r="J5" i="12" a="1"/>
  <c r="J5" i="12" s="1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G10" i="13"/>
  <c r="F10" i="13"/>
  <c r="E10" i="13"/>
  <c r="D10" i="13"/>
  <c r="G9" i="13"/>
  <c r="F9" i="13"/>
  <c r="E9" i="13"/>
  <c r="D9" i="13"/>
  <c r="C11" i="13"/>
  <c r="C10" i="13"/>
  <c r="C9" i="13"/>
  <c r="G8" i="13"/>
  <c r="F8" i="13"/>
  <c r="E8" i="13"/>
  <c r="D8" i="13"/>
  <c r="C8" i="13"/>
  <c r="G7" i="13"/>
  <c r="F7" i="13"/>
  <c r="E7" i="13"/>
  <c r="C7" i="13"/>
  <c r="G6" i="13"/>
  <c r="F6" i="13"/>
  <c r="E6" i="13"/>
  <c r="D6" i="13"/>
  <c r="C6" i="13"/>
  <c r="G5" i="13"/>
  <c r="N7" i="13" s="1" a="1"/>
  <c r="N7" i="13" s="1"/>
  <c r="F5" i="13"/>
  <c r="M7" i="13" s="1" a="1"/>
  <c r="M7" i="13" s="1"/>
  <c r="E5" i="13"/>
  <c r="L7" i="13" s="1" a="1"/>
  <c r="L7" i="13" s="1"/>
  <c r="D5" i="13"/>
  <c r="C5" i="13"/>
  <c r="J7" i="13" s="1" a="1"/>
  <c r="J7" i="13" s="1"/>
  <c r="G4" i="13"/>
  <c r="N6" i="13" s="1" a="1"/>
  <c r="N6" i="13" s="1"/>
  <c r="F4" i="13"/>
  <c r="E4" i="13"/>
  <c r="L6" i="13" s="1" a="1"/>
  <c r="L6" i="13" s="1"/>
  <c r="D4" i="13"/>
  <c r="C4" i="13"/>
  <c r="G3" i="13"/>
  <c r="F3" i="13"/>
  <c r="E3" i="13"/>
  <c r="L5" i="13" s="1" a="1"/>
  <c r="L5" i="13" s="1"/>
  <c r="D3" i="13"/>
  <c r="K5" i="13" s="1" a="1"/>
  <c r="K5" i="13" s="1"/>
  <c r="C3" i="13"/>
  <c r="J5" i="13" s="1" a="1"/>
  <c r="J5" i="13" s="1"/>
  <c r="S39" i="8"/>
  <c r="S37" i="8"/>
  <c r="S36" i="8"/>
  <c r="S35" i="8"/>
  <c r="S34" i="8"/>
  <c r="S33" i="8"/>
  <c r="S32" i="8"/>
  <c r="S29" i="8"/>
  <c r="S28" i="8"/>
  <c r="S27" i="8"/>
  <c r="S26" i="8"/>
  <c r="S25" i="8"/>
  <c r="S24" i="8"/>
  <c r="S23" i="8"/>
  <c r="S22" i="8"/>
  <c r="S21" i="8"/>
  <c r="S20" i="8"/>
  <c r="S19" i="8"/>
  <c r="R39" i="8"/>
  <c r="R37" i="8"/>
  <c r="R36" i="8"/>
  <c r="R35" i="8"/>
  <c r="R34" i="8"/>
  <c r="R33" i="8"/>
  <c r="R32" i="8"/>
  <c r="R29" i="8"/>
  <c r="R28" i="8"/>
  <c r="R27" i="8"/>
  <c r="R26" i="8"/>
  <c r="R25" i="8"/>
  <c r="R24" i="8"/>
  <c r="R23" i="8"/>
  <c r="R22" i="8"/>
  <c r="R21" i="8"/>
  <c r="R20" i="8"/>
  <c r="R19" i="8"/>
  <c r="Q39" i="8"/>
  <c r="Q37" i="8"/>
  <c r="Q36" i="8"/>
  <c r="Q35" i="8"/>
  <c r="Q34" i="8"/>
  <c r="Q33" i="8"/>
  <c r="Q32" i="8"/>
  <c r="Q29" i="8"/>
  <c r="Q28" i="8"/>
  <c r="Q27" i="8"/>
  <c r="Q26" i="8"/>
  <c r="Q25" i="8"/>
  <c r="Q24" i="8"/>
  <c r="Q23" i="8"/>
  <c r="Q22" i="8"/>
  <c r="Q21" i="8"/>
  <c r="Q20" i="8"/>
  <c r="Q19" i="8"/>
  <c r="Q38" i="8"/>
  <c r="S11" i="8"/>
  <c r="S9" i="8"/>
  <c r="S7" i="8"/>
  <c r="S6" i="8"/>
  <c r="S5" i="8"/>
  <c r="S4" i="8"/>
  <c r="R13" i="8"/>
  <c r="R11" i="8"/>
  <c r="R9" i="8"/>
  <c r="R7" i="8"/>
  <c r="R6" i="8"/>
  <c r="R5" i="8"/>
  <c r="R4" i="8"/>
  <c r="S8" i="8"/>
  <c r="S10" i="8" s="1"/>
  <c r="S14" i="8" s="1"/>
  <c r="Q12" i="8"/>
  <c r="Q11" i="8"/>
  <c r="Q9" i="8"/>
  <c r="Q8" i="8"/>
  <c r="Q7" i="8"/>
  <c r="Q6" i="8"/>
  <c r="Q5" i="8"/>
  <c r="Q4" i="8"/>
  <c r="G20" i="12" a="1"/>
  <c r="G20" i="12" s="1"/>
  <c r="F20" i="12" a="1"/>
  <c r="F20" i="12" s="1"/>
  <c r="E20" i="12" a="1"/>
  <c r="E20" i="12" s="1"/>
  <c r="D20" i="12" a="1"/>
  <c r="D20" i="12" s="1"/>
  <c r="G19" i="12" a="1"/>
  <c r="G19" i="12" s="1"/>
  <c r="F19" i="12" a="1"/>
  <c r="F19" i="12" s="1"/>
  <c r="E19" i="12" a="1"/>
  <c r="E19" i="12" s="1"/>
  <c r="D19" i="12" a="1"/>
  <c r="D19" i="12" s="1"/>
  <c r="G18" i="12" a="1"/>
  <c r="G18" i="12" s="1"/>
  <c r="F18" i="12" a="1"/>
  <c r="F18" i="12" s="1"/>
  <c r="E18" i="12" a="1"/>
  <c r="E18" i="12" s="1"/>
  <c r="D18" i="12" a="1"/>
  <c r="D18" i="12" s="1"/>
  <c r="C20" i="12" a="1"/>
  <c r="C20" i="12" s="1"/>
  <c r="C19" i="12" a="1"/>
  <c r="C19" i="12" s="1"/>
  <c r="C18" i="12" a="1"/>
  <c r="C18" i="12" s="1"/>
  <c r="G17" i="12" a="1"/>
  <c r="G17" i="12" s="1"/>
  <c r="F17" i="12" a="1"/>
  <c r="F17" i="12" s="1"/>
  <c r="E17" i="12" a="1"/>
  <c r="E17" i="12" s="1"/>
  <c r="D17" i="12" a="1"/>
  <c r="D17" i="12" s="1"/>
  <c r="G16" i="12" a="1"/>
  <c r="G16" i="12" s="1"/>
  <c r="F16" i="12" a="1"/>
  <c r="F16" i="12" s="1"/>
  <c r="E16" i="12" a="1"/>
  <c r="E16" i="12" s="1"/>
  <c r="D16" i="12" a="1"/>
  <c r="D16" i="12" s="1"/>
  <c r="G15" i="12" a="1"/>
  <c r="G15" i="12" s="1"/>
  <c r="F15" i="12" a="1"/>
  <c r="F15" i="12" s="1"/>
  <c r="E15" i="12" a="1"/>
  <c r="E15" i="12" s="1"/>
  <c r="D15" i="12" a="1"/>
  <c r="D15" i="12" s="1"/>
  <c r="C17" i="12" a="1"/>
  <c r="C17" i="12" s="1"/>
  <c r="C16" i="12" a="1"/>
  <c r="C16" i="12" s="1"/>
  <c r="C15" i="12" a="1"/>
  <c r="C15" i="12" s="1"/>
  <c r="G14" i="12" a="1"/>
  <c r="G14" i="12" s="1"/>
  <c r="F14" i="12" a="1"/>
  <c r="F14" i="12" s="1"/>
  <c r="E14" i="12" a="1"/>
  <c r="E14" i="12" s="1"/>
  <c r="D14" i="12" a="1"/>
  <c r="D14" i="12" s="1"/>
  <c r="G13" i="12" a="1"/>
  <c r="G13" i="12" s="1"/>
  <c r="F13" i="12" a="1"/>
  <c r="F13" i="12" s="1"/>
  <c r="E13" i="12" a="1"/>
  <c r="E13" i="12" s="1"/>
  <c r="D13" i="12" a="1"/>
  <c r="D13" i="12" s="1"/>
  <c r="G12" i="12" a="1"/>
  <c r="G12" i="12" s="1"/>
  <c r="F12" i="12" a="1"/>
  <c r="F12" i="12" s="1"/>
  <c r="E12" i="12" a="1"/>
  <c r="E12" i="12" s="1"/>
  <c r="D12" i="12" a="1"/>
  <c r="D12" i="12" s="1"/>
  <c r="C14" i="12" a="1"/>
  <c r="C14" i="12" s="1"/>
  <c r="C13" i="12" a="1"/>
  <c r="C13" i="12" s="1"/>
  <c r="C12" i="12" a="1"/>
  <c r="C12" i="12" s="1"/>
  <c r="G23" i="12" a="1"/>
  <c r="G23" i="12" s="1"/>
  <c r="F23" i="12" a="1"/>
  <c r="F23" i="12" s="1"/>
  <c r="E23" i="12" a="1"/>
  <c r="E23" i="12" s="1"/>
  <c r="D23" i="12" a="1"/>
  <c r="D23" i="12" s="1"/>
  <c r="C23" i="12" a="1"/>
  <c r="C23" i="12" s="1"/>
  <c r="G22" i="12" a="1"/>
  <c r="G22" i="12" s="1"/>
  <c r="F22" i="12" a="1"/>
  <c r="F22" i="12" s="1"/>
  <c r="E22" i="12" a="1"/>
  <c r="E22" i="12" s="1"/>
  <c r="D22" i="12" a="1"/>
  <c r="D22" i="12" s="1"/>
  <c r="C22" i="12" a="1"/>
  <c r="C22" i="12" s="1"/>
  <c r="G21" i="12" a="1"/>
  <c r="G21" i="12" s="1"/>
  <c r="F21" i="12" a="1"/>
  <c r="F21" i="12" s="1"/>
  <c r="E21" i="12" a="1"/>
  <c r="E21" i="12" s="1"/>
  <c r="D21" i="12" a="1"/>
  <c r="D21" i="12" s="1"/>
  <c r="C21" i="12" a="1"/>
  <c r="C21" i="12" s="1"/>
  <c r="G11" i="12" a="1"/>
  <c r="G11" i="12" s="1"/>
  <c r="F11" i="12" a="1"/>
  <c r="F11" i="12" s="1"/>
  <c r="E11" i="12" a="1"/>
  <c r="E11" i="12" s="1"/>
  <c r="D11" i="12" a="1"/>
  <c r="D11" i="12" s="1"/>
  <c r="G10" i="12" a="1"/>
  <c r="G10" i="12" s="1"/>
  <c r="F10" i="12" a="1"/>
  <c r="F10" i="12" s="1"/>
  <c r="E10" i="12" a="1"/>
  <c r="E10" i="12" s="1"/>
  <c r="D10" i="12" a="1"/>
  <c r="D10" i="12" s="1"/>
  <c r="G9" i="12" a="1"/>
  <c r="G9" i="12" s="1"/>
  <c r="F9" i="12" a="1"/>
  <c r="F9" i="12" s="1"/>
  <c r="E9" i="12" a="1"/>
  <c r="E9" i="12" s="1"/>
  <c r="D9" i="12" a="1"/>
  <c r="D9" i="12" s="1"/>
  <c r="C11" i="12" a="1"/>
  <c r="C11" i="12" s="1"/>
  <c r="C10" i="12" a="1"/>
  <c r="C10" i="12" s="1"/>
  <c r="C9" i="12" a="1"/>
  <c r="C9" i="12" s="1"/>
  <c r="G8" i="12" a="1"/>
  <c r="G8" i="12" s="1"/>
  <c r="F8" i="12" a="1"/>
  <c r="F8" i="12" s="1"/>
  <c r="E8" i="12" a="1"/>
  <c r="E8" i="12" s="1"/>
  <c r="D8" i="12" a="1"/>
  <c r="D8" i="12" s="1"/>
  <c r="G7" i="12" a="1"/>
  <c r="G7" i="12" s="1"/>
  <c r="F7" i="12" a="1"/>
  <c r="F7" i="12" s="1"/>
  <c r="E7" i="12" a="1"/>
  <c r="E7" i="12" s="1"/>
  <c r="D7" i="12" a="1"/>
  <c r="D7" i="12" s="1"/>
  <c r="G6" i="12" a="1"/>
  <c r="G6" i="12" s="1"/>
  <c r="F6" i="12" a="1"/>
  <c r="F6" i="12" s="1"/>
  <c r="E6" i="12" a="1"/>
  <c r="E6" i="12" s="1"/>
  <c r="D6" i="12" a="1"/>
  <c r="D6" i="12" s="1"/>
  <c r="C8" i="12" a="1"/>
  <c r="C8" i="12" s="1"/>
  <c r="C7" i="12" a="1"/>
  <c r="C7" i="12" s="1"/>
  <c r="C6" i="12" a="1"/>
  <c r="C6" i="12" s="1"/>
  <c r="G5" i="12" a="1"/>
  <c r="G5" i="12" s="1"/>
  <c r="F5" i="12" a="1"/>
  <c r="F5" i="12" s="1"/>
  <c r="E5" i="12" a="1"/>
  <c r="E5" i="12" s="1"/>
  <c r="D5" i="12" a="1"/>
  <c r="D5" i="12" s="1"/>
  <c r="C5" i="12" a="1"/>
  <c r="C5" i="12" s="1"/>
  <c r="G4" i="12" a="1"/>
  <c r="G4" i="12" s="1"/>
  <c r="F4" i="12" a="1"/>
  <c r="F4" i="12" s="1"/>
  <c r="E4" i="12" a="1"/>
  <c r="E4" i="12" s="1"/>
  <c r="D4" i="12" a="1"/>
  <c r="D4" i="12" s="1"/>
  <c r="C4" i="12" a="1"/>
  <c r="C4" i="12" s="1"/>
  <c r="G3" i="12" a="1"/>
  <c r="G3" i="12" s="1"/>
  <c r="F3" i="12" a="1"/>
  <c r="F3" i="12" s="1"/>
  <c r="E3" i="12" a="1"/>
  <c r="E3" i="12" s="1"/>
  <c r="D3" i="12" a="1"/>
  <c r="D3" i="12" s="1"/>
  <c r="C3" i="12" a="1"/>
  <c r="C3" i="12" s="1"/>
  <c r="F15" i="11" a="1"/>
  <c r="F15" i="11" s="1"/>
  <c r="E15" i="11" a="1"/>
  <c r="E15" i="11" s="1"/>
  <c r="D15" i="11" a="1"/>
  <c r="D15" i="11" s="1"/>
  <c r="C15" i="11" a="1"/>
  <c r="C15" i="11" s="1"/>
  <c r="F14" i="11" a="1"/>
  <c r="F14" i="11" s="1"/>
  <c r="E14" i="11" a="1"/>
  <c r="E14" i="11" s="1"/>
  <c r="D14" i="11" a="1"/>
  <c r="D14" i="11" s="1"/>
  <c r="C14" i="11" a="1"/>
  <c r="C14" i="11" s="1"/>
  <c r="F13" i="11" a="1"/>
  <c r="F13" i="11" s="1"/>
  <c r="E13" i="11" a="1"/>
  <c r="E13" i="11" s="1"/>
  <c r="D13" i="11" a="1"/>
  <c r="D13" i="11" s="1"/>
  <c r="C13" i="11" a="1"/>
  <c r="C13" i="11" s="1"/>
  <c r="B15" i="11" a="1"/>
  <c r="B15" i="11" s="1"/>
  <c r="B14" i="11" a="1"/>
  <c r="B14" i="11" s="1"/>
  <c r="B13" i="11" a="1"/>
  <c r="B13" i="11" s="1"/>
  <c r="F5" i="11" a="1"/>
  <c r="F5" i="11" s="1"/>
  <c r="E5" i="11" a="1"/>
  <c r="E5" i="11" s="1"/>
  <c r="D5" i="11" a="1"/>
  <c r="D5" i="11" s="1"/>
  <c r="C5" i="11" a="1"/>
  <c r="C5" i="11" s="1"/>
  <c r="F4" i="11" a="1"/>
  <c r="F4" i="11" s="1"/>
  <c r="E4" i="11" a="1"/>
  <c r="E4" i="11" s="1"/>
  <c r="D4" i="11" a="1"/>
  <c r="D4" i="11" s="1"/>
  <c r="C4" i="11" a="1"/>
  <c r="C4" i="11" s="1"/>
  <c r="B5" i="11" a="1"/>
  <c r="B5" i="11" s="1"/>
  <c r="B4" i="11" a="1"/>
  <c r="B4" i="11" s="1"/>
  <c r="F3" i="11" a="1"/>
  <c r="F3" i="11" s="1"/>
  <c r="E3" i="11" a="1"/>
  <c r="E3" i="11" s="1"/>
  <c r="D3" i="11" a="1"/>
  <c r="D3" i="11" s="1"/>
  <c r="C3" i="11" a="1"/>
  <c r="C3" i="11" s="1"/>
  <c r="B3" i="11" a="1"/>
  <c r="B3" i="11" s="1"/>
  <c r="P22" i="6" a="1"/>
  <c r="P22" i="6" s="1"/>
  <c r="C26" i="12" s="1" a="1"/>
  <c r="C26" i="12" s="1"/>
  <c r="O22" i="6" a="1"/>
  <c r="O22" i="6" s="1"/>
  <c r="B9" i="11" s="1" a="1"/>
  <c r="B9" i="11" s="1"/>
  <c r="N22" i="6" a="1"/>
  <c r="N22" i="6" s="1"/>
  <c r="C24" i="12" s="1" a="1"/>
  <c r="C24" i="12" s="1"/>
  <c r="M22" i="6" a="1"/>
  <c r="M22" i="6" s="1"/>
  <c r="D26" i="12" s="1" a="1"/>
  <c r="D26" i="12" s="1"/>
  <c r="L22" i="6" a="1"/>
  <c r="L22" i="6" s="1"/>
  <c r="C9" i="11" s="1" a="1"/>
  <c r="C9" i="11" s="1"/>
  <c r="K22" i="6" a="1"/>
  <c r="K22" i="6" s="1"/>
  <c r="C8" i="11" s="1" a="1"/>
  <c r="C8" i="11" s="1"/>
  <c r="J22" i="6" a="1"/>
  <c r="J22" i="6" s="1"/>
  <c r="E26" i="12" s="1" a="1"/>
  <c r="E26" i="12" s="1"/>
  <c r="I22" i="6" a="1"/>
  <c r="I22" i="6" s="1"/>
  <c r="D9" i="11" s="1" a="1"/>
  <c r="D9" i="11" s="1"/>
  <c r="H22" i="6" a="1"/>
  <c r="H22" i="6" s="1"/>
  <c r="D8" i="11" s="1" a="1"/>
  <c r="D8" i="11" s="1"/>
  <c r="G22" i="6" a="1"/>
  <c r="G22" i="6" s="1"/>
  <c r="F26" i="15" s="1" a="1"/>
  <c r="F26" i="15" s="1"/>
  <c r="F22" i="6" a="1"/>
  <c r="F22" i="6" s="1"/>
  <c r="E9" i="11" s="1" a="1"/>
  <c r="E9" i="11" s="1"/>
  <c r="E22" i="6" a="1"/>
  <c r="E22" i="6"/>
  <c r="E8" i="11" s="1" a="1"/>
  <c r="E8" i="11" s="1"/>
  <c r="D22" i="6" a="1"/>
  <c r="D22" i="6" s="1"/>
  <c r="G26" i="12" s="1" a="1"/>
  <c r="G26" i="12" s="1"/>
  <c r="C22" i="6" a="1"/>
  <c r="C22" i="6" s="1"/>
  <c r="F9" i="11" s="1" a="1"/>
  <c r="F9" i="11" s="1"/>
  <c r="B22" i="6" a="1"/>
  <c r="B22" i="6" s="1"/>
  <c r="F8" i="11" s="1" a="1"/>
  <c r="F8" i="11" s="1"/>
  <c r="D15" i="6" a="1"/>
  <c r="D15" i="6" s="1"/>
  <c r="C15" i="6" a="1"/>
  <c r="C15" i="6" s="1"/>
  <c r="G15" i="6" a="1"/>
  <c r="G15" i="6" s="1"/>
  <c r="F15" i="6" a="1"/>
  <c r="F15" i="6" s="1"/>
  <c r="J15" i="6" a="1"/>
  <c r="J15" i="6" s="1"/>
  <c r="I15" i="6" a="1"/>
  <c r="I15" i="6" s="1"/>
  <c r="M15" i="6" a="1"/>
  <c r="M15" i="6" s="1"/>
  <c r="L15" i="6" a="1"/>
  <c r="L15" i="6" s="1"/>
  <c r="P15" i="6" a="1"/>
  <c r="P15" i="6" s="1"/>
  <c r="O15" i="6" a="1"/>
  <c r="O15" i="6" s="1"/>
  <c r="N15" i="6" a="1"/>
  <c r="N15" i="6" s="1"/>
  <c r="K15" i="6" a="1"/>
  <c r="K15" i="6" s="1"/>
  <c r="H15" i="6" a="1"/>
  <c r="H15" i="6" s="1"/>
  <c r="E15" i="6" a="1"/>
  <c r="E15" i="6" s="1"/>
  <c r="B15" i="6" a="1"/>
  <c r="B15" i="6"/>
  <c r="P10" i="6" a="1"/>
  <c r="P10" i="6" s="1"/>
  <c r="O10" i="6" a="1"/>
  <c r="O10" i="6" s="1"/>
  <c r="N10" i="6" a="1"/>
  <c r="N10" i="6" s="1"/>
  <c r="M10" i="6" a="1"/>
  <c r="M10" i="6" s="1"/>
  <c r="L10" i="6" a="1"/>
  <c r="L10" i="6" s="1"/>
  <c r="K10" i="6" a="1"/>
  <c r="K10" i="6" s="1"/>
  <c r="J10" i="6" a="1"/>
  <c r="J10" i="6" s="1"/>
  <c r="I10" i="6" a="1"/>
  <c r="I10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C10" i="6" a="1"/>
  <c r="C10" i="6" s="1"/>
  <c r="B10" i="6" a="1"/>
  <c r="B10" i="6" s="1"/>
  <c r="P42" i="8"/>
  <c r="M42" i="8"/>
  <c r="J42" i="8"/>
  <c r="G42" i="8"/>
  <c r="O42" i="8"/>
  <c r="L42" i="8"/>
  <c r="I42" i="8"/>
  <c r="F42" i="8"/>
  <c r="N42" i="8"/>
  <c r="K42" i="8"/>
  <c r="H42" i="8"/>
  <c r="E42" i="8"/>
  <c r="D42" i="8"/>
  <c r="C42" i="8"/>
  <c r="B42" i="8"/>
  <c r="F86" i="3"/>
  <c r="E86" i="3"/>
  <c r="D86" i="3"/>
  <c r="C86" i="3"/>
  <c r="B86" i="3"/>
  <c r="F85" i="2"/>
  <c r="E85" i="2"/>
  <c r="D85" i="2"/>
  <c r="C85" i="2"/>
  <c r="B85" i="2"/>
  <c r="F53" i="1"/>
  <c r="E53" i="1"/>
  <c r="D53" i="1"/>
  <c r="C53" i="1"/>
  <c r="B53" i="1"/>
  <c r="H39" i="4"/>
  <c r="P37" i="8"/>
  <c r="M37" i="8"/>
  <c r="J37" i="8"/>
  <c r="G37" i="8"/>
  <c r="D37" i="8"/>
  <c r="O37" i="8"/>
  <c r="L37" i="8"/>
  <c r="I37" i="8"/>
  <c r="F37" i="8"/>
  <c r="C37" i="8"/>
  <c r="N37" i="8"/>
  <c r="K37" i="8"/>
  <c r="H37" i="8"/>
  <c r="E37" i="8"/>
  <c r="B37" i="8"/>
  <c r="N35" i="8"/>
  <c r="K35" i="8"/>
  <c r="H35" i="8"/>
  <c r="M31" i="4"/>
  <c r="M34" i="4" s="1"/>
  <c r="M23" i="6" s="1" a="1"/>
  <c r="M23" i="6" s="1"/>
  <c r="J31" i="4"/>
  <c r="J36" i="4" s="1"/>
  <c r="G31" i="4"/>
  <c r="G21" i="4" s="1"/>
  <c r="F31" i="4"/>
  <c r="F36" i="4" s="1"/>
  <c r="E31" i="4"/>
  <c r="E34" i="4" s="1"/>
  <c r="E23" i="6" s="1" a="1"/>
  <c r="E23" i="6" s="1"/>
  <c r="C31" i="4"/>
  <c r="C24" i="4" s="1"/>
  <c r="P39" i="8"/>
  <c r="M39" i="8"/>
  <c r="J39" i="8"/>
  <c r="G39" i="8"/>
  <c r="D39" i="8"/>
  <c r="O39" i="8"/>
  <c r="L39" i="8"/>
  <c r="I39" i="8"/>
  <c r="F39" i="8"/>
  <c r="C39" i="8"/>
  <c r="P29" i="8"/>
  <c r="P31" i="4" s="1"/>
  <c r="P39" i="4" s="1"/>
  <c r="M29" i="8"/>
  <c r="J29" i="8"/>
  <c r="G29" i="8"/>
  <c r="O29" i="8"/>
  <c r="O31" i="4" s="1"/>
  <c r="O39" i="4" s="1"/>
  <c r="L29" i="8"/>
  <c r="L31" i="4" s="1"/>
  <c r="L39" i="4" s="1"/>
  <c r="I29" i="8"/>
  <c r="I31" i="4" s="1"/>
  <c r="I39" i="4" s="1"/>
  <c r="F29" i="8"/>
  <c r="N29" i="8"/>
  <c r="N31" i="4" s="1"/>
  <c r="N22" i="4" s="1"/>
  <c r="K29" i="8"/>
  <c r="K31" i="4" s="1"/>
  <c r="K39" i="4" s="1"/>
  <c r="H29" i="8"/>
  <c r="H31" i="4" s="1"/>
  <c r="E29" i="8"/>
  <c r="D29" i="8"/>
  <c r="D31" i="4" s="1"/>
  <c r="D39" i="4" s="1"/>
  <c r="C29" i="8"/>
  <c r="B29" i="8"/>
  <c r="B31" i="4" s="1"/>
  <c r="B39" i="4" s="1"/>
  <c r="P24" i="8"/>
  <c r="O24" i="8"/>
  <c r="N24" i="8"/>
  <c r="M24" i="8"/>
  <c r="L24" i="8"/>
  <c r="K24" i="8"/>
  <c r="J24" i="8"/>
  <c r="J26" i="4" s="1"/>
  <c r="D37" i="9" s="1" a="1"/>
  <c r="D37" i="9" s="1"/>
  <c r="I24" i="8"/>
  <c r="H24" i="8"/>
  <c r="H26" i="4" s="1"/>
  <c r="D35" i="9" s="1" a="1"/>
  <c r="D35" i="9" s="1"/>
  <c r="G24" i="8"/>
  <c r="F24" i="8"/>
  <c r="F26" i="4" s="1"/>
  <c r="E36" i="9" s="1" a="1"/>
  <c r="E36" i="9" s="1"/>
  <c r="E24" i="8"/>
  <c r="D24" i="8"/>
  <c r="C24" i="8"/>
  <c r="B24" i="8"/>
  <c r="P23" i="8"/>
  <c r="M23" i="8"/>
  <c r="J23" i="8"/>
  <c r="G23" i="8"/>
  <c r="D23" i="8"/>
  <c r="O23" i="8"/>
  <c r="O25" i="4" s="1"/>
  <c r="L23" i="8"/>
  <c r="L25" i="4" s="1"/>
  <c r="I23" i="8"/>
  <c r="I25" i="4" s="1"/>
  <c r="F23" i="8"/>
  <c r="C23" i="8"/>
  <c r="G85" i="3"/>
  <c r="F85" i="3"/>
  <c r="E85" i="3"/>
  <c r="D85" i="3"/>
  <c r="C85" i="3"/>
  <c r="B85" i="3"/>
  <c r="G84" i="2"/>
  <c r="F84" i="2"/>
  <c r="E84" i="2"/>
  <c r="D84" i="2"/>
  <c r="C84" i="2"/>
  <c r="B84" i="2"/>
  <c r="N23" i="8"/>
  <c r="K23" i="8"/>
  <c r="H23" i="8"/>
  <c r="E23" i="8"/>
  <c r="B23" i="8"/>
  <c r="P22" i="8"/>
  <c r="M22" i="8"/>
  <c r="J22" i="8"/>
  <c r="G22" i="8"/>
  <c r="G24" i="4" s="1"/>
  <c r="D22" i="8"/>
  <c r="O22" i="8"/>
  <c r="O24" i="4" s="1"/>
  <c r="L22" i="8"/>
  <c r="I22" i="8"/>
  <c r="F22" i="8"/>
  <c r="C22" i="8"/>
  <c r="N22" i="8"/>
  <c r="K22" i="8"/>
  <c r="H22" i="8"/>
  <c r="E22" i="8"/>
  <c r="B22" i="8"/>
  <c r="P28" i="8"/>
  <c r="M28" i="8"/>
  <c r="J28" i="8"/>
  <c r="G28" i="8"/>
  <c r="D28" i="8"/>
  <c r="P27" i="8"/>
  <c r="M27" i="8"/>
  <c r="J27" i="8"/>
  <c r="G27" i="8"/>
  <c r="D27" i="8"/>
  <c r="O28" i="8"/>
  <c r="O27" i="8"/>
  <c r="O29" i="4" s="1"/>
  <c r="L28" i="8"/>
  <c r="L30" i="4" s="1"/>
  <c r="L27" i="8"/>
  <c r="I28" i="8"/>
  <c r="I30" i="4" s="1"/>
  <c r="I27" i="8"/>
  <c r="F28" i="8"/>
  <c r="F27" i="8"/>
  <c r="C28" i="8"/>
  <c r="C27" i="8"/>
  <c r="G84" i="3"/>
  <c r="F84" i="3"/>
  <c r="E84" i="3"/>
  <c r="D84" i="3"/>
  <c r="C84" i="3"/>
  <c r="G83" i="3"/>
  <c r="F83" i="3"/>
  <c r="E83" i="3"/>
  <c r="D83" i="3"/>
  <c r="C83" i="3"/>
  <c r="B84" i="3"/>
  <c r="B83" i="3"/>
  <c r="G83" i="2"/>
  <c r="F83" i="2"/>
  <c r="E83" i="2"/>
  <c r="D83" i="2"/>
  <c r="C83" i="2"/>
  <c r="G82" i="2"/>
  <c r="F82" i="2"/>
  <c r="E82" i="2"/>
  <c r="D82" i="2"/>
  <c r="C82" i="2"/>
  <c r="B83" i="2"/>
  <c r="B82" i="2"/>
  <c r="N28" i="8"/>
  <c r="N30" i="4" s="1"/>
  <c r="N27" i="8"/>
  <c r="N29" i="4" s="1"/>
  <c r="K28" i="8"/>
  <c r="K27" i="8"/>
  <c r="H28" i="8"/>
  <c r="H30" i="4" s="1"/>
  <c r="H27" i="8"/>
  <c r="E28" i="8"/>
  <c r="E27" i="8"/>
  <c r="B28" i="8"/>
  <c r="B27" i="8"/>
  <c r="P26" i="8"/>
  <c r="M26" i="8"/>
  <c r="J26" i="8"/>
  <c r="G26" i="8"/>
  <c r="D26" i="8"/>
  <c r="O26" i="8"/>
  <c r="O28" i="4" s="1"/>
  <c r="L26" i="8"/>
  <c r="L28" i="4" s="1"/>
  <c r="I26" i="8"/>
  <c r="F26" i="8"/>
  <c r="C26" i="8"/>
  <c r="P19" i="8"/>
  <c r="M19" i="8"/>
  <c r="J19" i="8"/>
  <c r="G19" i="8"/>
  <c r="D19" i="8"/>
  <c r="O19" i="8"/>
  <c r="O21" i="4" s="1"/>
  <c r="L19" i="8"/>
  <c r="I19" i="8"/>
  <c r="F19" i="8"/>
  <c r="C19" i="8"/>
  <c r="P25" i="8"/>
  <c r="M25" i="8"/>
  <c r="J25" i="8"/>
  <c r="G25" i="8"/>
  <c r="D25" i="8"/>
  <c r="O25" i="8"/>
  <c r="L25" i="8"/>
  <c r="I25" i="8"/>
  <c r="F25" i="8"/>
  <c r="C25" i="8"/>
  <c r="P21" i="8"/>
  <c r="M21" i="8"/>
  <c r="J21" i="8"/>
  <c r="G21" i="8"/>
  <c r="D21" i="8"/>
  <c r="O21" i="8"/>
  <c r="O23" i="4" s="1"/>
  <c r="L21" i="8"/>
  <c r="I21" i="8"/>
  <c r="F21" i="8"/>
  <c r="C21" i="8"/>
  <c r="P20" i="8"/>
  <c r="M20" i="8"/>
  <c r="J20" i="8"/>
  <c r="G20" i="8"/>
  <c r="D20" i="8"/>
  <c r="O20" i="8"/>
  <c r="L20" i="8"/>
  <c r="I20" i="8"/>
  <c r="F20" i="8"/>
  <c r="C20" i="8"/>
  <c r="G81" i="3"/>
  <c r="F81" i="3"/>
  <c r="E81" i="3"/>
  <c r="D81" i="3"/>
  <c r="C81" i="3"/>
  <c r="B81" i="3"/>
  <c r="G80" i="2"/>
  <c r="F80" i="2"/>
  <c r="E80" i="2"/>
  <c r="D80" i="2"/>
  <c r="C80" i="2"/>
  <c r="B80" i="2"/>
  <c r="N21" i="8"/>
  <c r="N23" i="4" s="1"/>
  <c r="K21" i="8"/>
  <c r="K23" i="4" s="1"/>
  <c r="H21" i="8"/>
  <c r="H23" i="4" s="1"/>
  <c r="E21" i="8"/>
  <c r="B21" i="8"/>
  <c r="N20" i="8"/>
  <c r="K20" i="8"/>
  <c r="H20" i="8"/>
  <c r="E20" i="8"/>
  <c r="B20" i="8"/>
  <c r="N19" i="8"/>
  <c r="K19" i="8"/>
  <c r="H19" i="8"/>
  <c r="E19" i="8"/>
  <c r="B19" i="8"/>
  <c r="N26" i="8"/>
  <c r="K26" i="8"/>
  <c r="H26" i="8"/>
  <c r="E26" i="8"/>
  <c r="B26" i="8"/>
  <c r="N25" i="8"/>
  <c r="K25" i="8"/>
  <c r="H25" i="8"/>
  <c r="E25" i="8"/>
  <c r="B25" i="8"/>
  <c r="N39" i="8"/>
  <c r="N41" i="4" s="1"/>
  <c r="K39" i="8"/>
  <c r="H39" i="8"/>
  <c r="H41" i="4" s="1"/>
  <c r="E39" i="8"/>
  <c r="B39" i="8"/>
  <c r="P34" i="8"/>
  <c r="G36" i="8"/>
  <c r="J34" i="8"/>
  <c r="G79" i="3"/>
  <c r="F79" i="3"/>
  <c r="P36" i="8" s="1"/>
  <c r="E79" i="3"/>
  <c r="M36" i="8" s="1"/>
  <c r="D79" i="3"/>
  <c r="J36" i="8" s="1"/>
  <c r="C79" i="3"/>
  <c r="G78" i="3"/>
  <c r="F78" i="3"/>
  <c r="E78" i="3"/>
  <c r="M34" i="8" s="1"/>
  <c r="D78" i="3"/>
  <c r="C78" i="3"/>
  <c r="G34" i="8" s="1"/>
  <c r="G36" i="4" s="1"/>
  <c r="B79" i="3"/>
  <c r="D36" i="8" s="1"/>
  <c r="B78" i="3"/>
  <c r="D34" i="8" s="1"/>
  <c r="O36" i="8"/>
  <c r="O38" i="4" s="1"/>
  <c r="I36" i="8"/>
  <c r="I38" i="4" s="1"/>
  <c r="F36" i="8"/>
  <c r="G78" i="2"/>
  <c r="F78" i="2"/>
  <c r="E78" i="2"/>
  <c r="L36" i="8" s="1"/>
  <c r="D78" i="2"/>
  <c r="C78" i="2"/>
  <c r="B78" i="2"/>
  <c r="C36" i="8" s="1"/>
  <c r="G77" i="2"/>
  <c r="F77" i="2"/>
  <c r="O34" i="8" s="1"/>
  <c r="E77" i="2"/>
  <c r="L34" i="8" s="1"/>
  <c r="D77" i="2"/>
  <c r="I34" i="8" s="1"/>
  <c r="C77" i="2"/>
  <c r="F34" i="8" s="1"/>
  <c r="B77" i="2"/>
  <c r="C34" i="8" s="1"/>
  <c r="N36" i="8"/>
  <c r="N38" i="4" s="1"/>
  <c r="K36" i="8"/>
  <c r="K38" i="4" s="1"/>
  <c r="H36" i="8"/>
  <c r="E36" i="8"/>
  <c r="B36" i="8"/>
  <c r="N34" i="8"/>
  <c r="K34" i="8"/>
  <c r="H34" i="8"/>
  <c r="E34" i="8"/>
  <c r="B34" i="8"/>
  <c r="P35" i="8"/>
  <c r="M35" i="8"/>
  <c r="J35" i="8"/>
  <c r="G35" i="8"/>
  <c r="D35" i="8"/>
  <c r="O35" i="8"/>
  <c r="O37" i="4" s="1"/>
  <c r="L35" i="8"/>
  <c r="L37" i="4" s="1"/>
  <c r="I35" i="8"/>
  <c r="F35" i="8"/>
  <c r="F37" i="4" s="1"/>
  <c r="C35" i="8"/>
  <c r="E35" i="8"/>
  <c r="B35" i="8"/>
  <c r="G77" i="3"/>
  <c r="F77" i="3"/>
  <c r="P33" i="8" s="1"/>
  <c r="E77" i="3"/>
  <c r="M33" i="8" s="1"/>
  <c r="M35" i="4" s="1"/>
  <c r="D77" i="3"/>
  <c r="J33" i="8" s="1"/>
  <c r="J35" i="4" s="1"/>
  <c r="C77" i="3"/>
  <c r="G33" i="8" s="1"/>
  <c r="G35" i="4" s="1"/>
  <c r="B77" i="3"/>
  <c r="D33" i="8" s="1"/>
  <c r="O33" i="8"/>
  <c r="O35" i="4" s="1"/>
  <c r="L33" i="8"/>
  <c r="L35" i="4" s="1"/>
  <c r="I33" i="8"/>
  <c r="I35" i="4" s="1"/>
  <c r="G76" i="2"/>
  <c r="F76" i="2"/>
  <c r="E76" i="2"/>
  <c r="D76" i="2"/>
  <c r="C76" i="2"/>
  <c r="F33" i="8" s="1"/>
  <c r="B76" i="2"/>
  <c r="C33" i="8" s="1"/>
  <c r="N33" i="8"/>
  <c r="N35" i="4" s="1"/>
  <c r="K33" i="8"/>
  <c r="H33" i="8"/>
  <c r="H35" i="4" s="1"/>
  <c r="E33" i="8"/>
  <c r="E35" i="4" s="1"/>
  <c r="B33" i="8"/>
  <c r="P32" i="8"/>
  <c r="M32" i="8"/>
  <c r="J32" i="8"/>
  <c r="G32" i="8"/>
  <c r="D32" i="8"/>
  <c r="O32" i="8"/>
  <c r="L32" i="8"/>
  <c r="I32" i="8"/>
  <c r="F32" i="8"/>
  <c r="C32" i="8"/>
  <c r="N32" i="8"/>
  <c r="K32" i="8"/>
  <c r="H32" i="8"/>
  <c r="H34" i="4" s="1"/>
  <c r="H23" i="6" s="1" a="1"/>
  <c r="H23" i="6" s="1"/>
  <c r="E32" i="8"/>
  <c r="B32" i="8"/>
  <c r="P9" i="8"/>
  <c r="M9" i="8"/>
  <c r="J9" i="8"/>
  <c r="G9" i="8"/>
  <c r="D9" i="8"/>
  <c r="O11" i="8"/>
  <c r="L11" i="8"/>
  <c r="I11" i="8"/>
  <c r="I12" i="4" s="1"/>
  <c r="F11" i="8"/>
  <c r="C11" i="8"/>
  <c r="C12" i="4" s="1"/>
  <c r="O13" i="8"/>
  <c r="L13" i="8"/>
  <c r="I13" i="8"/>
  <c r="F13" i="8"/>
  <c r="C13" i="8"/>
  <c r="P11" i="8"/>
  <c r="M11" i="8"/>
  <c r="N11" i="8"/>
  <c r="J11" i="8"/>
  <c r="G11" i="8"/>
  <c r="D11" i="8"/>
  <c r="N12" i="8"/>
  <c r="K12" i="8"/>
  <c r="H12" i="8"/>
  <c r="E12" i="8"/>
  <c r="B12" i="8"/>
  <c r="K11" i="8"/>
  <c r="H11" i="8"/>
  <c r="E11" i="8"/>
  <c r="B11" i="8"/>
  <c r="O9" i="8"/>
  <c r="L9" i="8"/>
  <c r="I9" i="8"/>
  <c r="I10" i="4" s="1"/>
  <c r="F9" i="8"/>
  <c r="C9" i="8"/>
  <c r="N9" i="8"/>
  <c r="K9" i="8"/>
  <c r="H9" i="8"/>
  <c r="E9" i="8"/>
  <c r="B9" i="8"/>
  <c r="M7" i="8"/>
  <c r="J7" i="8"/>
  <c r="P7" i="8"/>
  <c r="P8" i="4" s="1"/>
  <c r="B13" i="9" s="1" a="1"/>
  <c r="B13" i="9" s="1"/>
  <c r="G7" i="8"/>
  <c r="D7" i="8"/>
  <c r="O7" i="8"/>
  <c r="O8" i="4" s="1"/>
  <c r="B12" i="9" s="1" a="1"/>
  <c r="B12" i="9" s="1"/>
  <c r="L7" i="8"/>
  <c r="I7" i="8"/>
  <c r="F7" i="8"/>
  <c r="C7" i="8"/>
  <c r="N7" i="8"/>
  <c r="K7" i="8"/>
  <c r="H7" i="8"/>
  <c r="E7" i="8"/>
  <c r="B7" i="8"/>
  <c r="P6" i="8"/>
  <c r="P7" i="4" s="1"/>
  <c r="P5" i="8"/>
  <c r="P6" i="4" s="1"/>
  <c r="M6" i="8"/>
  <c r="M7" i="4" s="1"/>
  <c r="M5" i="8"/>
  <c r="J6" i="8"/>
  <c r="J5" i="8"/>
  <c r="G6" i="8"/>
  <c r="G5" i="8"/>
  <c r="D6" i="8"/>
  <c r="D5" i="8"/>
  <c r="P4" i="8"/>
  <c r="P4" i="4" s="1"/>
  <c r="M4" i="8"/>
  <c r="M4" i="4" s="1"/>
  <c r="J4" i="8"/>
  <c r="J4" i="4" s="1"/>
  <c r="G4" i="8"/>
  <c r="G4" i="4" s="1"/>
  <c r="D4" i="8"/>
  <c r="D4" i="4" s="1"/>
  <c r="O6" i="8"/>
  <c r="O5" i="8"/>
  <c r="O4" i="8"/>
  <c r="O4" i="4" s="1"/>
  <c r="L6" i="8"/>
  <c r="L5" i="8"/>
  <c r="L4" i="8"/>
  <c r="L4" i="4" s="1"/>
  <c r="I6" i="8"/>
  <c r="I5" i="8"/>
  <c r="I4" i="8"/>
  <c r="I4" i="4" s="1"/>
  <c r="I13" i="4" s="1"/>
  <c r="F6" i="8"/>
  <c r="F5" i="8"/>
  <c r="F4" i="8"/>
  <c r="F4" i="4" s="1"/>
  <c r="F13" i="4" s="1"/>
  <c r="C6" i="8"/>
  <c r="C5" i="8"/>
  <c r="C4" i="8"/>
  <c r="C4" i="4" s="1"/>
  <c r="C13" i="4" s="1"/>
  <c r="N6" i="8"/>
  <c r="N5" i="8"/>
  <c r="N4" i="8"/>
  <c r="N4" i="4" s="1"/>
  <c r="N14" i="4" s="1"/>
  <c r="K6" i="8"/>
  <c r="K5" i="8"/>
  <c r="K4" i="8"/>
  <c r="K4" i="4" s="1"/>
  <c r="H6" i="8"/>
  <c r="H5" i="8"/>
  <c r="H4" i="8"/>
  <c r="H4" i="4" s="1"/>
  <c r="E6" i="8"/>
  <c r="E5" i="8"/>
  <c r="E4" i="8"/>
  <c r="E4" i="4" s="1"/>
  <c r="E14" i="4" s="1"/>
  <c r="B6" i="8"/>
  <c r="B5" i="8"/>
  <c r="B4" i="8"/>
  <c r="B4" i="4" s="1"/>
  <c r="B14" i="4" s="1"/>
  <c r="E25" i="15" l="1" a="1"/>
  <c r="E25" i="15" s="1"/>
  <c r="F25" i="15" a="1"/>
  <c r="F25" i="15" s="1"/>
  <c r="G25" i="15" a="1"/>
  <c r="G25" i="15" s="1"/>
  <c r="C26" i="15" a="1"/>
  <c r="C26" i="15" s="1"/>
  <c r="C24" i="15" a="1"/>
  <c r="C24" i="15" s="1"/>
  <c r="D24" i="15" a="1"/>
  <c r="D24" i="15" s="1"/>
  <c r="D26" i="15" a="1"/>
  <c r="D26" i="15" s="1"/>
  <c r="E24" i="15" a="1"/>
  <c r="E24" i="15" s="1"/>
  <c r="E26" i="15" a="1"/>
  <c r="E26" i="15" s="1"/>
  <c r="F24" i="15" a="1"/>
  <c r="F24" i="15" s="1"/>
  <c r="G24" i="15" a="1"/>
  <c r="G24" i="15" s="1"/>
  <c r="G26" i="15" a="1"/>
  <c r="G26" i="15" s="1"/>
  <c r="C25" i="15" a="1"/>
  <c r="C25" i="15" s="1"/>
  <c r="D25" i="15" a="1"/>
  <c r="D25" i="15" s="1"/>
  <c r="F26" i="12" a="1"/>
  <c r="F26" i="12" s="1"/>
  <c r="E10" i="11" a="1"/>
  <c r="E10" i="11" s="1"/>
  <c r="B10" i="11" a="1"/>
  <c r="B10" i="11" s="1"/>
  <c r="D24" i="12" a="1"/>
  <c r="D24" i="12" s="1"/>
  <c r="F10" i="11" a="1"/>
  <c r="F10" i="11" s="1"/>
  <c r="E24" i="12" a="1"/>
  <c r="E24" i="12" s="1"/>
  <c r="F24" i="12" a="1"/>
  <c r="F24" i="12" s="1"/>
  <c r="G24" i="12" a="1"/>
  <c r="G24" i="12" s="1"/>
  <c r="C25" i="12" a="1"/>
  <c r="C25" i="12" s="1"/>
  <c r="D25" i="12" a="1"/>
  <c r="D25" i="12" s="1"/>
  <c r="E25" i="12" a="1"/>
  <c r="E25" i="12" s="1"/>
  <c r="F25" i="12" a="1"/>
  <c r="F25" i="12" s="1"/>
  <c r="G25" i="12" a="1"/>
  <c r="G25" i="12" s="1"/>
  <c r="B8" i="11" a="1"/>
  <c r="B8" i="11" s="1"/>
  <c r="C10" i="11" a="1"/>
  <c r="C10" i="11" s="1"/>
  <c r="D10" i="11" a="1"/>
  <c r="D10" i="11" s="1"/>
  <c r="S38" i="8"/>
  <c r="R38" i="8"/>
  <c r="R8" i="8"/>
  <c r="R10" i="8" s="1"/>
  <c r="R14" i="8" s="1"/>
  <c r="Q10" i="8"/>
  <c r="Q14" i="8" s="1"/>
  <c r="N13" i="4"/>
  <c r="K36" i="4"/>
  <c r="K22" i="4"/>
  <c r="J23" i="4"/>
  <c r="J30" i="4"/>
  <c r="N36" i="4"/>
  <c r="L10" i="4"/>
  <c r="N34" i="4"/>
  <c r="N23" i="6" s="1" a="1"/>
  <c r="N23" i="6" s="1"/>
  <c r="K28" i="4"/>
  <c r="B8" i="4"/>
  <c r="F11" i="9" s="1" a="1"/>
  <c r="F11" i="9" s="1"/>
  <c r="O10" i="4"/>
  <c r="L12" i="4"/>
  <c r="N28" i="4"/>
  <c r="M22" i="4"/>
  <c r="I21" i="4"/>
  <c r="K29" i="4"/>
  <c r="J39" i="4"/>
  <c r="E8" i="4"/>
  <c r="E11" i="9" s="1" a="1"/>
  <c r="E11" i="9" s="1"/>
  <c r="B12" i="4"/>
  <c r="N12" i="4"/>
  <c r="K35" i="4"/>
  <c r="L38" i="4"/>
  <c r="L21" i="4"/>
  <c r="K30" i="4"/>
  <c r="N39" i="4"/>
  <c r="K27" i="4"/>
  <c r="M21" i="4"/>
  <c r="K25" i="4"/>
  <c r="N26" i="4"/>
  <c r="B35" i="9" s="1" a="1"/>
  <c r="B35" i="9" s="1"/>
  <c r="M28" i="4"/>
  <c r="M39" i="4"/>
  <c r="N37" i="4"/>
  <c r="C39" i="4"/>
  <c r="M37" i="4"/>
  <c r="K21" i="4"/>
  <c r="N24" i="4"/>
  <c r="G22" i="4"/>
  <c r="B7" i="4"/>
  <c r="N7" i="4"/>
  <c r="L7" i="4"/>
  <c r="L7" i="6" s="1" a="1"/>
  <c r="L7" i="6" s="1"/>
  <c r="C8" i="4"/>
  <c r="F12" i="9" s="1" a="1"/>
  <c r="F12" i="9" s="1"/>
  <c r="B13" i="4"/>
  <c r="N21" i="4"/>
  <c r="M24" i="4"/>
  <c r="E39" i="4"/>
  <c r="F39" i="4"/>
  <c r="G30" i="4"/>
  <c r="G39" i="4"/>
  <c r="P34" i="4"/>
  <c r="P23" i="6" s="1" a="1"/>
  <c r="P23" i="6" s="1"/>
  <c r="P36" i="4"/>
  <c r="E28" i="4"/>
  <c r="D22" i="4"/>
  <c r="F28" i="4"/>
  <c r="E30" i="4"/>
  <c r="F25" i="4"/>
  <c r="E26" i="4"/>
  <c r="E35" i="9" s="1" a="1"/>
  <c r="E35" i="9" s="1"/>
  <c r="P41" i="4"/>
  <c r="C30" i="4"/>
  <c r="C41" i="4"/>
  <c r="C37" i="4"/>
  <c r="F35" i="4"/>
  <c r="C36" i="4"/>
  <c r="F38" i="4"/>
  <c r="E27" i="4"/>
  <c r="C29" i="4"/>
  <c r="E25" i="4"/>
  <c r="H27" i="4"/>
  <c r="F22" i="4"/>
  <c r="G34" i="4"/>
  <c r="G27" i="4"/>
  <c r="F29" i="4"/>
  <c r="F24" i="4"/>
  <c r="G41" i="4"/>
  <c r="J34" i="4"/>
  <c r="E37" i="4"/>
  <c r="E36" i="4"/>
  <c r="N27" i="4"/>
  <c r="E22" i="4"/>
  <c r="J27" i="4"/>
  <c r="F30" i="4"/>
  <c r="N25" i="4"/>
  <c r="C26" i="4"/>
  <c r="F36" i="9" s="1" a="1"/>
  <c r="F36" i="9" s="1"/>
  <c r="E7" i="4"/>
  <c r="E7" i="6" s="1" a="1"/>
  <c r="E7" i="6" s="1"/>
  <c r="C7" i="4"/>
  <c r="F4" i="9" s="1" a="1"/>
  <c r="F4" i="9" s="1"/>
  <c r="O7" i="4"/>
  <c r="B4" i="9" s="1" a="1"/>
  <c r="B4" i="9" s="1"/>
  <c r="M6" i="4"/>
  <c r="L8" i="4"/>
  <c r="C12" i="9" s="1" a="1"/>
  <c r="C12" i="9" s="1"/>
  <c r="C10" i="4"/>
  <c r="D38" i="4"/>
  <c r="G38" i="4"/>
  <c r="C28" i="4"/>
  <c r="I29" i="4"/>
  <c r="L24" i="4"/>
  <c r="M41" i="4"/>
  <c r="G26" i="4"/>
  <c r="E37" i="9" s="1" a="1"/>
  <c r="E37" i="9" s="1"/>
  <c r="E41" i="4"/>
  <c r="F34" i="4"/>
  <c r="F23" i="6" s="1" a="1"/>
  <c r="F23" i="6" s="1"/>
  <c r="F27" i="4"/>
  <c r="E24" i="4"/>
  <c r="F41" i="4"/>
  <c r="E38" i="4"/>
  <c r="G37" i="4"/>
  <c r="E21" i="4"/>
  <c r="C23" i="4"/>
  <c r="G28" i="4"/>
  <c r="G25" i="4"/>
  <c r="C35" i="4"/>
  <c r="J37" i="4"/>
  <c r="J38" i="4"/>
  <c r="F23" i="4"/>
  <c r="J28" i="4"/>
  <c r="G29" i="4"/>
  <c r="K24" i="4"/>
  <c r="K26" i="4"/>
  <c r="C35" i="9" s="1" a="1"/>
  <c r="C35" i="9" s="1"/>
  <c r="C34" i="4"/>
  <c r="E23" i="4"/>
  <c r="C22" i="4"/>
  <c r="C27" i="4"/>
  <c r="E3" i="9" a="1"/>
  <c r="E3" i="9" s="1"/>
  <c r="C7" i="6" a="1"/>
  <c r="C7" i="6" s="1"/>
  <c r="B35" i="4"/>
  <c r="B28" i="4"/>
  <c r="B41" i="4"/>
  <c r="B38" i="4"/>
  <c r="H6" i="4"/>
  <c r="F7" i="4"/>
  <c r="B5" i="9" a="1"/>
  <c r="B5" i="9" s="1"/>
  <c r="P7" i="6" a="1"/>
  <c r="P7" i="6" s="1"/>
  <c r="G8" i="4"/>
  <c r="E13" i="9" s="1" a="1"/>
  <c r="E13" i="9" s="1"/>
  <c r="N12" i="6" a="1"/>
  <c r="N12" i="6" s="1"/>
  <c r="B43" i="9" a="1"/>
  <c r="B43" i="9" s="1"/>
  <c r="B23" i="4"/>
  <c r="P27" i="4"/>
  <c r="P23" i="4"/>
  <c r="P30" i="4"/>
  <c r="P26" i="4"/>
  <c r="B37" i="9" s="1" a="1"/>
  <c r="B37" i="9" s="1"/>
  <c r="P22" i="4"/>
  <c r="P37" i="4"/>
  <c r="P25" i="4"/>
  <c r="P35" i="4"/>
  <c r="P28" i="4"/>
  <c r="E12" i="6" a="1"/>
  <c r="E12" i="6" s="1"/>
  <c r="E43" i="9" a="1"/>
  <c r="E43" i="9" s="1"/>
  <c r="B7" i="6" a="1"/>
  <c r="B7" i="6" s="1"/>
  <c r="F3" i="9" a="1"/>
  <c r="F3" i="9" s="1"/>
  <c r="N7" i="6" a="1"/>
  <c r="N7" i="6" s="1"/>
  <c r="B3" i="9" a="1"/>
  <c r="B3" i="9" s="1"/>
  <c r="C4" i="9" a="1"/>
  <c r="C4" i="9" s="1"/>
  <c r="G7" i="4"/>
  <c r="H10" i="4"/>
  <c r="F14" i="4"/>
  <c r="M10" i="4"/>
  <c r="P38" i="4"/>
  <c r="I37" i="4"/>
  <c r="I28" i="4"/>
  <c r="I24" i="4"/>
  <c r="O14" i="4"/>
  <c r="O13" i="4"/>
  <c r="O12" i="4"/>
  <c r="J6" i="4"/>
  <c r="F8" i="4"/>
  <c r="E12" i="9" s="1" a="1"/>
  <c r="E12" i="9" s="1"/>
  <c r="K10" i="4"/>
  <c r="E13" i="4"/>
  <c r="I14" i="4"/>
  <c r="P10" i="4"/>
  <c r="B37" i="4"/>
  <c r="B36" i="4"/>
  <c r="I36" i="4"/>
  <c r="B22" i="4"/>
  <c r="I22" i="4"/>
  <c r="B29" i="4"/>
  <c r="P29" i="4"/>
  <c r="B26" i="4"/>
  <c r="F35" i="9" s="1" a="1"/>
  <c r="F35" i="9" s="1"/>
  <c r="L29" i="4"/>
  <c r="L23" i="4"/>
  <c r="E6" i="4"/>
  <c r="C6" i="4"/>
  <c r="O6" i="4"/>
  <c r="J7" i="4"/>
  <c r="I8" i="4"/>
  <c r="D12" i="9" s="1" a="1"/>
  <c r="D12" i="9" s="1"/>
  <c r="N10" i="4"/>
  <c r="B34" i="4"/>
  <c r="B23" i="6" s="1" a="1"/>
  <c r="B23" i="6" s="1"/>
  <c r="L36" i="4"/>
  <c r="D36" i="4"/>
  <c r="L22" i="4"/>
  <c r="P21" i="4"/>
  <c r="B30" i="4"/>
  <c r="O30" i="4"/>
  <c r="O26" i="4"/>
  <c r="B36" i="9" s="1" a="1"/>
  <c r="B36" i="9" s="1"/>
  <c r="O22" i="4"/>
  <c r="O36" i="4"/>
  <c r="H14" i="4"/>
  <c r="H13" i="4"/>
  <c r="M7" i="6" a="1"/>
  <c r="M7" i="6" s="1"/>
  <c r="C5" i="9" a="1"/>
  <c r="C5" i="9" s="1"/>
  <c r="H7" i="4"/>
  <c r="D41" i="4"/>
  <c r="D34" i="4"/>
  <c r="D23" i="6" s="1" a="1"/>
  <c r="D23" i="6" s="1"/>
  <c r="D27" i="4"/>
  <c r="D23" i="4"/>
  <c r="D37" i="4"/>
  <c r="D30" i="4"/>
  <c r="D26" i="4"/>
  <c r="F37" i="9" s="1" a="1"/>
  <c r="F37" i="9" s="1"/>
  <c r="D35" i="4"/>
  <c r="D28" i="4"/>
  <c r="D24" i="4"/>
  <c r="M14" i="4"/>
  <c r="M13" i="4"/>
  <c r="D14" i="4"/>
  <c r="D13" i="4"/>
  <c r="D12" i="4"/>
  <c r="D43" i="9" a="1"/>
  <c r="D43" i="9" s="1"/>
  <c r="H12" i="6" a="1"/>
  <c r="H12" i="6" s="1"/>
  <c r="F6" i="4"/>
  <c r="B24" i="4"/>
  <c r="K6" i="4"/>
  <c r="P14" i="4"/>
  <c r="P13" i="4"/>
  <c r="I26" i="4"/>
  <c r="D36" i="9" s="1" a="1"/>
  <c r="D36" i="9" s="1"/>
  <c r="K7" i="4"/>
  <c r="M8" i="4"/>
  <c r="C13" i="9" s="1" a="1"/>
  <c r="C13" i="9" s="1"/>
  <c r="D10" i="4"/>
  <c r="I27" i="4"/>
  <c r="D29" i="4"/>
  <c r="H24" i="4"/>
  <c r="P24" i="4"/>
  <c r="K41" i="4"/>
  <c r="K34" i="4"/>
  <c r="K23" i="6" s="1" a="1"/>
  <c r="K23" i="6" s="1"/>
  <c r="K37" i="4"/>
  <c r="I41" i="4"/>
  <c r="O7" i="6" a="1"/>
  <c r="O7" i="6" s="1"/>
  <c r="F10" i="4"/>
  <c r="G13" i="4"/>
  <c r="G12" i="4"/>
  <c r="G14" i="4"/>
  <c r="F12" i="4"/>
  <c r="J14" i="4"/>
  <c r="J13" i="4"/>
  <c r="J12" i="4"/>
  <c r="K14" i="4"/>
  <c r="K13" i="4"/>
  <c r="I6" i="4"/>
  <c r="J8" i="4"/>
  <c r="D13" i="9" s="1" a="1"/>
  <c r="D13" i="9" s="1"/>
  <c r="E44" i="9" a="1"/>
  <c r="E44" i="9" s="1"/>
  <c r="F12" i="6" a="1"/>
  <c r="F12" i="6" s="1"/>
  <c r="B21" i="4"/>
  <c r="D6" i="4"/>
  <c r="E12" i="4"/>
  <c r="I34" i="4"/>
  <c r="I23" i="6" s="1" a="1"/>
  <c r="I23" i="6" s="1"/>
  <c r="H12" i="4"/>
  <c r="D21" i="4"/>
  <c r="L41" i="4"/>
  <c r="C45" i="9" a="1"/>
  <c r="C45" i="9" s="1"/>
  <c r="M12" i="6" a="1"/>
  <c r="M12" i="6" s="1"/>
  <c r="D8" i="4"/>
  <c r="F13" i="9" s="1" a="1"/>
  <c r="F13" i="9" s="1"/>
  <c r="D25" i="4"/>
  <c r="H22" i="4"/>
  <c r="H36" i="4"/>
  <c r="H29" i="4"/>
  <c r="H25" i="4"/>
  <c r="H28" i="4"/>
  <c r="H38" i="4"/>
  <c r="I7" i="4"/>
  <c r="H8" i="4"/>
  <c r="D11" i="9" s="1" a="1"/>
  <c r="D11" i="9" s="1"/>
  <c r="M12" i="4"/>
  <c r="L14" i="4"/>
  <c r="L13" i="4"/>
  <c r="D7" i="4"/>
  <c r="K8" i="4"/>
  <c r="C11" i="9" s="1" a="1"/>
  <c r="C11" i="9" s="1"/>
  <c r="B10" i="4"/>
  <c r="P12" i="4"/>
  <c r="G10" i="4"/>
  <c r="L34" i="4"/>
  <c r="L23" i="6" s="1" a="1"/>
  <c r="L23" i="6" s="1"/>
  <c r="B27" i="4"/>
  <c r="H21" i="4"/>
  <c r="L27" i="4"/>
  <c r="B25" i="4"/>
  <c r="B6" i="4"/>
  <c r="N6" i="4"/>
  <c r="L6" i="4"/>
  <c r="G6" i="4"/>
  <c r="N8" i="4"/>
  <c r="B11" i="9" s="1" a="1"/>
  <c r="B11" i="9" s="1"/>
  <c r="E10" i="4"/>
  <c r="K12" i="4"/>
  <c r="C14" i="4"/>
  <c r="J10" i="4"/>
  <c r="O34" i="4"/>
  <c r="O23" i="6" s="1" a="1"/>
  <c r="O23" i="6" s="1"/>
  <c r="I23" i="4"/>
  <c r="O27" i="4"/>
  <c r="L26" i="4"/>
  <c r="C36" i="9" s="1" a="1"/>
  <c r="C36" i="9" s="1"/>
  <c r="O41" i="4"/>
  <c r="J22" i="4"/>
  <c r="G23" i="4"/>
  <c r="M25" i="4"/>
  <c r="M29" i="4"/>
  <c r="M36" i="4"/>
  <c r="H37" i="4"/>
  <c r="C21" i="4"/>
  <c r="C25" i="4"/>
  <c r="M26" i="4"/>
  <c r="C37" i="9" s="1" a="1"/>
  <c r="C37" i="9" s="1"/>
  <c r="M30" i="4"/>
  <c r="E29" i="4"/>
  <c r="F21" i="4"/>
  <c r="M38" i="4"/>
  <c r="J41" i="4"/>
  <c r="M23" i="4"/>
  <c r="J24" i="4"/>
  <c r="M27" i="4"/>
  <c r="C38" i="4"/>
  <c r="J21" i="4"/>
  <c r="J25" i="4"/>
  <c r="J29" i="4"/>
  <c r="B38" i="8"/>
  <c r="B40" i="4" s="1"/>
  <c r="B13" i="6" s="1" a="1"/>
  <c r="B13" i="6" s="1"/>
  <c r="H8" i="8"/>
  <c r="P8" i="8"/>
  <c r="O38" i="8"/>
  <c r="O40" i="4" s="1"/>
  <c r="O13" i="6" s="1" a="1"/>
  <c r="O13" i="6" s="1"/>
  <c r="N38" i="8"/>
  <c r="N40" i="4" s="1"/>
  <c r="N13" i="6" s="1" a="1"/>
  <c r="N13" i="6" s="1"/>
  <c r="F38" i="8"/>
  <c r="F40" i="4" s="1"/>
  <c r="F13" i="6" s="1" a="1"/>
  <c r="F13" i="6" s="1"/>
  <c r="H38" i="8"/>
  <c r="H40" i="4" s="1"/>
  <c r="H13" i="6" s="1" a="1"/>
  <c r="H13" i="6" s="1"/>
  <c r="E38" i="8"/>
  <c r="E40" i="4" s="1"/>
  <c r="E13" i="6" s="1" a="1"/>
  <c r="E13" i="6" s="1"/>
  <c r="K38" i="8"/>
  <c r="K40" i="4" s="1"/>
  <c r="K13" i="6" s="1" a="1"/>
  <c r="K13" i="6" s="1"/>
  <c r="C38" i="8"/>
  <c r="C40" i="4" s="1"/>
  <c r="C13" i="6" s="1" a="1"/>
  <c r="C13" i="6" s="1"/>
  <c r="I38" i="8"/>
  <c r="I40" i="4" s="1"/>
  <c r="I13" i="6" s="1" a="1"/>
  <c r="I13" i="6" s="1"/>
  <c r="P38" i="8"/>
  <c r="P40" i="4" s="1"/>
  <c r="P13" i="6" s="1" a="1"/>
  <c r="P13" i="6" s="1"/>
  <c r="M38" i="8"/>
  <c r="M40" i="4" s="1"/>
  <c r="M13" i="6" s="1" a="1"/>
  <c r="M13" i="6" s="1"/>
  <c r="D38" i="8"/>
  <c r="D40" i="4" s="1"/>
  <c r="D13" i="6" s="1" a="1"/>
  <c r="D13" i="6" s="1"/>
  <c r="I8" i="8"/>
  <c r="G38" i="8"/>
  <c r="G40" i="4" s="1"/>
  <c r="G13" i="6" s="1" a="1"/>
  <c r="G13" i="6" s="1"/>
  <c r="L38" i="8"/>
  <c r="L40" i="4" s="1"/>
  <c r="L13" i="6" s="1" a="1"/>
  <c r="L13" i="6" s="1"/>
  <c r="J38" i="8"/>
  <c r="J40" i="4" s="1"/>
  <c r="J13" i="6" s="1" a="1"/>
  <c r="J13" i="6" s="1"/>
  <c r="D8" i="8"/>
  <c r="D9" i="4" s="1"/>
  <c r="K8" i="8"/>
  <c r="M8" i="8"/>
  <c r="B8" i="8"/>
  <c r="J8" i="8"/>
  <c r="E8" i="8"/>
  <c r="C8" i="8"/>
  <c r="O8" i="8"/>
  <c r="L8" i="8"/>
  <c r="F8" i="8"/>
  <c r="N8" i="8"/>
  <c r="G8" i="8"/>
  <c r="B45" i="9" l="1" a="1"/>
  <c r="B45" i="9" s="1"/>
  <c r="F44" i="9" a="1"/>
  <c r="F44" i="9" s="1"/>
  <c r="C23" i="6" a="1"/>
  <c r="C23" i="6" s="1"/>
  <c r="P12" i="6" a="1"/>
  <c r="P12" i="6" s="1"/>
  <c r="J12" i="6" a="1"/>
  <c r="J12" i="6" s="1"/>
  <c r="J23" i="6" a="1"/>
  <c r="J23" i="6" s="1"/>
  <c r="G12" i="6" a="1"/>
  <c r="G12" i="6" s="1"/>
  <c r="G23" i="6" a="1"/>
  <c r="G23" i="6" s="1"/>
  <c r="E45" i="9" a="1"/>
  <c r="E45" i="9" s="1"/>
  <c r="C12" i="6" a="1"/>
  <c r="C12" i="6" s="1"/>
  <c r="D45" i="9" a="1"/>
  <c r="D45" i="9" s="1"/>
  <c r="K10" i="8"/>
  <c r="K9" i="4"/>
  <c r="D12" i="6" a="1"/>
  <c r="D12" i="6" s="1"/>
  <c r="F45" i="9" a="1"/>
  <c r="F45" i="9" s="1"/>
  <c r="B10" i="8"/>
  <c r="B9" i="4"/>
  <c r="O12" i="6" a="1"/>
  <c r="O12" i="6" s="1"/>
  <c r="B44" i="9" a="1"/>
  <c r="B44" i="9" s="1"/>
  <c r="D4" i="9" a="1"/>
  <c r="D4" i="9" s="1"/>
  <c r="I7" i="6" a="1"/>
  <c r="I7" i="6" s="1"/>
  <c r="C43" i="9" a="1"/>
  <c r="C43" i="9" s="1"/>
  <c r="K12" i="6" a="1"/>
  <c r="K12" i="6" s="1"/>
  <c r="B12" i="6" a="1"/>
  <c r="B12" i="6" s="1"/>
  <c r="F43" i="9" a="1"/>
  <c r="F43" i="9" s="1"/>
  <c r="M10" i="8"/>
  <c r="M9" i="4"/>
  <c r="F7" i="6" a="1"/>
  <c r="F7" i="6" s="1"/>
  <c r="E4" i="9" a="1"/>
  <c r="E4" i="9" s="1"/>
  <c r="D10" i="8"/>
  <c r="L12" i="6" a="1"/>
  <c r="L12" i="6" s="1"/>
  <c r="C44" i="9" a="1"/>
  <c r="C44" i="9" s="1"/>
  <c r="I12" i="6" a="1"/>
  <c r="I12" i="6" s="1"/>
  <c r="D44" i="9" a="1"/>
  <c r="D44" i="9" s="1"/>
  <c r="F10" i="8"/>
  <c r="F9" i="4"/>
  <c r="O10" i="8"/>
  <c r="O9" i="4"/>
  <c r="I10" i="8"/>
  <c r="I9" i="4"/>
  <c r="P10" i="8"/>
  <c r="P9" i="4"/>
  <c r="C3" i="9" a="1"/>
  <c r="C3" i="9" s="1"/>
  <c r="K7" i="6" a="1"/>
  <c r="K7" i="6" s="1"/>
  <c r="D3" i="9" a="1"/>
  <c r="D3" i="9" s="1"/>
  <c r="H7" i="6" a="1"/>
  <c r="H7" i="6" s="1"/>
  <c r="G10" i="8"/>
  <c r="G9" i="4"/>
  <c r="N10" i="8"/>
  <c r="N9" i="4"/>
  <c r="H10" i="8"/>
  <c r="H9" i="4"/>
  <c r="F21" i="9" a="1"/>
  <c r="F21" i="9" s="1"/>
  <c r="D6" i="6" a="1"/>
  <c r="D6" i="6" s="1"/>
  <c r="F5" i="9" a="1"/>
  <c r="F5" i="9" s="1"/>
  <c r="D7" i="6" a="1"/>
  <c r="D7" i="6" s="1"/>
  <c r="C10" i="8"/>
  <c r="C9" i="4"/>
  <c r="E10" i="8"/>
  <c r="E9" i="4"/>
  <c r="J7" i="6" a="1"/>
  <c r="J7" i="6" s="1"/>
  <c r="D5" i="9" a="1"/>
  <c r="D5" i="9" s="1"/>
  <c r="J10" i="8"/>
  <c r="J9" i="4"/>
  <c r="E5" i="9" a="1"/>
  <c r="E5" i="9" s="1"/>
  <c r="G7" i="6" a="1"/>
  <c r="G7" i="6" s="1"/>
  <c r="L10" i="8"/>
  <c r="L9" i="4"/>
  <c r="C6" i="6" l="1" a="1"/>
  <c r="C6" i="6" s="1"/>
  <c r="F20" i="9" a="1"/>
  <c r="F20" i="9" s="1"/>
  <c r="I6" i="6" a="1"/>
  <c r="I6" i="6" s="1"/>
  <c r="D20" i="9" a="1"/>
  <c r="D20" i="9" s="1"/>
  <c r="C14" i="8"/>
  <c r="C15" i="4" s="1"/>
  <c r="C11" i="4"/>
  <c r="F28" i="9" s="1" a="1"/>
  <c r="F28" i="9" s="1"/>
  <c r="L6" i="6" a="1"/>
  <c r="L6" i="6" s="1"/>
  <c r="C20" i="9" a="1"/>
  <c r="C20" i="9" s="1"/>
  <c r="L14" i="8"/>
  <c r="L15" i="4" s="1"/>
  <c r="L11" i="4"/>
  <c r="C28" i="9" s="1" a="1"/>
  <c r="C28" i="9" s="1"/>
  <c r="K6" i="6" a="1"/>
  <c r="K6" i="6" s="1"/>
  <c r="C19" i="9" a="1"/>
  <c r="C19" i="9" s="1"/>
  <c r="E14" i="8"/>
  <c r="E15" i="4" s="1"/>
  <c r="E11" i="4"/>
  <c r="E27" i="9" s="1" a="1"/>
  <c r="E27" i="9" s="1"/>
  <c r="G14" i="8"/>
  <c r="G15" i="4" s="1"/>
  <c r="G11" i="4"/>
  <c r="E29" i="9" s="1" a="1"/>
  <c r="E29" i="9" s="1"/>
  <c r="F14" i="8"/>
  <c r="F15" i="4" s="1"/>
  <c r="F11" i="4"/>
  <c r="E28" i="9" s="1" a="1"/>
  <c r="E28" i="9" s="1"/>
  <c r="B21" i="9" a="1"/>
  <c r="B21" i="9" s="1"/>
  <c r="P6" i="6" a="1"/>
  <c r="P6" i="6" s="1"/>
  <c r="D14" i="8"/>
  <c r="D15" i="4" s="1"/>
  <c r="D11" i="4"/>
  <c r="F29" i="9" s="1" a="1"/>
  <c r="F29" i="9" s="1"/>
  <c r="P14" i="8"/>
  <c r="P15" i="4" s="1"/>
  <c r="P11" i="4"/>
  <c r="B29" i="9" s="1" a="1"/>
  <c r="B29" i="9" s="1"/>
  <c r="B6" i="6" a="1"/>
  <c r="B6" i="6" s="1"/>
  <c r="F19" i="9" a="1"/>
  <c r="F19" i="9" s="1"/>
  <c r="J6" i="6" a="1"/>
  <c r="J6" i="6" s="1"/>
  <c r="D21" i="9" a="1"/>
  <c r="D21" i="9" s="1"/>
  <c r="D19" i="9" a="1"/>
  <c r="D19" i="9" s="1"/>
  <c r="H6" i="6" a="1"/>
  <c r="H6" i="6" s="1"/>
  <c r="B14" i="8"/>
  <c r="B15" i="4" s="1"/>
  <c r="B11" i="4"/>
  <c r="F27" i="9" s="1" a="1"/>
  <c r="F27" i="9" s="1"/>
  <c r="J14" i="8"/>
  <c r="J15" i="4" s="1"/>
  <c r="J11" i="4"/>
  <c r="D29" i="9" s="1" a="1"/>
  <c r="D29" i="9" s="1"/>
  <c r="H14" i="8"/>
  <c r="H15" i="4" s="1"/>
  <c r="H11" i="4"/>
  <c r="D27" i="9" s="1" a="1"/>
  <c r="D27" i="9" s="1"/>
  <c r="I14" i="8"/>
  <c r="I15" i="4" s="1"/>
  <c r="I11" i="4"/>
  <c r="D28" i="9" s="1" a="1"/>
  <c r="D28" i="9" s="1"/>
  <c r="C21" i="9" a="1"/>
  <c r="C21" i="9" s="1"/>
  <c r="M6" i="6" a="1"/>
  <c r="M6" i="6" s="1"/>
  <c r="N6" i="6" a="1"/>
  <c r="N6" i="6" s="1"/>
  <c r="B19" i="9" a="1"/>
  <c r="B19" i="9" s="1"/>
  <c r="B20" i="9" a="1"/>
  <c r="B20" i="9" s="1"/>
  <c r="O6" i="6" a="1"/>
  <c r="O6" i="6" s="1"/>
  <c r="M14" i="8"/>
  <c r="M15" i="4" s="1"/>
  <c r="M11" i="4"/>
  <c r="C29" i="9" s="1" a="1"/>
  <c r="C29" i="9" s="1"/>
  <c r="N14" i="8"/>
  <c r="N15" i="4" s="1"/>
  <c r="N11" i="4"/>
  <c r="B27" i="9" s="1" a="1"/>
  <c r="B27" i="9" s="1"/>
  <c r="O14" i="8"/>
  <c r="O15" i="4" s="1"/>
  <c r="O11" i="4"/>
  <c r="B28" i="9" s="1" a="1"/>
  <c r="B28" i="9" s="1"/>
  <c r="E19" i="9" a="1"/>
  <c r="E19" i="9" s="1"/>
  <c r="E6" i="6" a="1"/>
  <c r="E6" i="6" s="1"/>
  <c r="G6" i="6" a="1"/>
  <c r="G6" i="6" s="1"/>
  <c r="E21" i="9" a="1"/>
  <c r="E21" i="9" s="1"/>
  <c r="F6" i="6" a="1"/>
  <c r="F6" i="6" s="1"/>
  <c r="E20" i="9" a="1"/>
  <c r="E20" i="9" s="1"/>
  <c r="K14" i="8"/>
  <c r="K15" i="4" s="1"/>
  <c r="K11" i="4"/>
  <c r="C27" i="9" s="1" a="1"/>
  <c r="C27" i="9" s="1"/>
  <c r="P5" i="6" l="1" a="1"/>
  <c r="P5" i="6" s="1"/>
  <c r="P8" i="6" s="1"/>
  <c r="P21" i="6" a="1"/>
  <c r="P21" i="6" s="1"/>
  <c r="P25" i="6" s="1"/>
  <c r="C29" i="15" s="1" a="1"/>
  <c r="C29" i="15" s="1"/>
  <c r="F5" i="6" a="1"/>
  <c r="F5" i="6" s="1"/>
  <c r="F8" i="6" s="1"/>
  <c r="F21" i="6" a="1"/>
  <c r="F21" i="6" s="1"/>
  <c r="F25" i="6" s="1"/>
  <c r="F28" i="15" s="1" a="1"/>
  <c r="F28" i="15" s="1"/>
  <c r="C5" i="6" a="1"/>
  <c r="C5" i="6" s="1"/>
  <c r="C8" i="6" s="1"/>
  <c r="C21" i="6" a="1"/>
  <c r="C21" i="6" s="1"/>
  <c r="C25" i="6" s="1"/>
  <c r="G28" i="15" s="1" a="1"/>
  <c r="G28" i="15" s="1"/>
  <c r="H5" i="6" a="1"/>
  <c r="H5" i="6" s="1"/>
  <c r="H8" i="6" s="1"/>
  <c r="H21" i="6" a="1"/>
  <c r="H21" i="6" s="1"/>
  <c r="H25" i="6" s="1"/>
  <c r="E27" i="15" s="1" a="1"/>
  <c r="E27" i="15" s="1"/>
  <c r="N5" i="6" a="1"/>
  <c r="N5" i="6" s="1"/>
  <c r="N8" i="6" s="1"/>
  <c r="N21" i="6" a="1"/>
  <c r="N21" i="6" s="1"/>
  <c r="N25" i="6" s="1"/>
  <c r="C27" i="15" s="1" a="1"/>
  <c r="C27" i="15" s="1"/>
  <c r="J5" i="6" a="1"/>
  <c r="J5" i="6" s="1"/>
  <c r="J8" i="6" s="1"/>
  <c r="J21" i="6" a="1"/>
  <c r="J21" i="6" s="1"/>
  <c r="J25" i="6" s="1"/>
  <c r="E29" i="15" s="1" a="1"/>
  <c r="E29" i="15" s="1"/>
  <c r="B5" i="6" a="1"/>
  <c r="B5" i="6" s="1"/>
  <c r="B8" i="6" s="1"/>
  <c r="B21" i="6" a="1"/>
  <c r="B21" i="6" s="1"/>
  <c r="B25" i="6" s="1"/>
  <c r="G27" i="15" s="1" a="1"/>
  <c r="G27" i="15" s="1"/>
  <c r="G5" i="6" a="1"/>
  <c r="G5" i="6" s="1"/>
  <c r="G8" i="6" s="1"/>
  <c r="G21" i="6" a="1"/>
  <c r="G21" i="6" s="1"/>
  <c r="G25" i="6" s="1"/>
  <c r="F29" i="15" s="1" a="1"/>
  <c r="F29" i="15" s="1"/>
  <c r="K5" i="6" a="1"/>
  <c r="K5" i="6" s="1"/>
  <c r="K8" i="6" s="1"/>
  <c r="K21" i="6" a="1"/>
  <c r="K21" i="6" s="1"/>
  <c r="K25" i="6" s="1"/>
  <c r="D27" i="15" s="1" a="1"/>
  <c r="D27" i="15" s="1"/>
  <c r="M5" i="6" a="1"/>
  <c r="M5" i="6" s="1"/>
  <c r="M8" i="6" s="1"/>
  <c r="M21" i="6" a="1"/>
  <c r="M21" i="6" s="1"/>
  <c r="M25" i="6" s="1"/>
  <c r="D29" i="15" s="1" a="1"/>
  <c r="D29" i="15" s="1"/>
  <c r="D5" i="6" a="1"/>
  <c r="D5" i="6" s="1"/>
  <c r="D8" i="6" s="1"/>
  <c r="D21" i="6" a="1"/>
  <c r="D21" i="6" s="1"/>
  <c r="D25" i="6" s="1"/>
  <c r="G29" i="15" s="1" a="1"/>
  <c r="G29" i="15" s="1"/>
  <c r="L5" i="6" a="1"/>
  <c r="L5" i="6" s="1"/>
  <c r="L8" i="6" s="1"/>
  <c r="L21" i="6" a="1"/>
  <c r="L21" i="6" s="1"/>
  <c r="L25" i="6" s="1"/>
  <c r="D28" i="15" s="1" a="1"/>
  <c r="D28" i="15" s="1"/>
  <c r="O5" i="6" a="1"/>
  <c r="O5" i="6" s="1"/>
  <c r="O8" i="6" s="1"/>
  <c r="O21" i="6" a="1"/>
  <c r="O21" i="6" s="1"/>
  <c r="O25" i="6" s="1"/>
  <c r="C28" i="15" s="1" a="1"/>
  <c r="C28" i="15" s="1"/>
  <c r="I5" i="6" a="1"/>
  <c r="I5" i="6" s="1"/>
  <c r="I8" i="6" s="1"/>
  <c r="I21" i="6" a="1"/>
  <c r="I21" i="6" s="1"/>
  <c r="I25" i="6" s="1"/>
  <c r="E28" i="15" s="1" a="1"/>
  <c r="E28" i="15" s="1"/>
  <c r="E5" i="6" a="1"/>
  <c r="E5" i="6" s="1"/>
  <c r="E8" i="6" s="1"/>
  <c r="E21" i="6" a="1"/>
  <c r="E21" i="6" s="1"/>
  <c r="E25" i="6" s="1"/>
  <c r="F27" i="15" s="1" a="1"/>
  <c r="F27" i="15" s="1"/>
  <c r="C20" i="11" l="1" a="1"/>
  <c r="C20" i="11" s="1"/>
  <c r="D29" i="12" a="1"/>
  <c r="D29" i="12" s="1"/>
  <c r="E18" i="11" a="1"/>
  <c r="E18" i="11" s="1"/>
  <c r="F27" i="12" a="1"/>
  <c r="F27" i="12" s="1"/>
  <c r="C18" i="11" a="1"/>
  <c r="C18" i="11" s="1"/>
  <c r="D27" i="12" a="1"/>
  <c r="D27" i="12" s="1"/>
  <c r="G28" i="12" a="1"/>
  <c r="G28" i="12" s="1"/>
  <c r="F19" i="11" a="1"/>
  <c r="F19" i="11" s="1"/>
  <c r="D20" i="11" a="1"/>
  <c r="D20" i="11" s="1"/>
  <c r="E29" i="12" a="1"/>
  <c r="E29" i="12" s="1"/>
  <c r="B18" i="11" a="1"/>
  <c r="B18" i="11" s="1"/>
  <c r="C27" i="12" a="1"/>
  <c r="C27" i="12" s="1"/>
  <c r="D18" i="11" a="1"/>
  <c r="D18" i="11" s="1"/>
  <c r="E27" i="12" a="1"/>
  <c r="E27" i="12" s="1"/>
  <c r="D28" i="12" a="1"/>
  <c r="D28" i="12" s="1"/>
  <c r="C19" i="11" a="1"/>
  <c r="C19" i="11" s="1"/>
  <c r="E28" i="12" a="1"/>
  <c r="E28" i="12" s="1"/>
  <c r="D19" i="11" a="1"/>
  <c r="D19" i="11" s="1"/>
  <c r="E20" i="11" a="1"/>
  <c r="E20" i="11" s="1"/>
  <c r="F29" i="12" a="1"/>
  <c r="F29" i="12" s="1"/>
  <c r="F20" i="11" a="1"/>
  <c r="F20" i="11" s="1"/>
  <c r="G29" i="12" a="1"/>
  <c r="G29" i="12" s="1"/>
  <c r="F28" i="12" a="1"/>
  <c r="F28" i="12" s="1"/>
  <c r="E19" i="11" a="1"/>
  <c r="E19" i="11" s="1"/>
  <c r="C28" i="12" a="1"/>
  <c r="C28" i="12" s="1"/>
  <c r="B19" i="11" a="1"/>
  <c r="B19" i="11" s="1"/>
  <c r="G27" i="12" a="1"/>
  <c r="G27" i="12" s="1"/>
  <c r="F18" i="11" a="1"/>
  <c r="F18" i="11" s="1"/>
  <c r="B20" i="11" a="1"/>
  <c r="B20" i="11" s="1"/>
  <c r="C29" i="12" a="1"/>
  <c r="C29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<sst xmlns="http://schemas.openxmlformats.org/spreadsheetml/2006/main" count="630" uniqueCount="221">
  <si>
    <t>Item</t>
  </si>
  <si>
    <t>Revenue</t>
  </si>
  <si>
    <t>Cost of sales</t>
  </si>
  <si>
    <t>Gross profit</t>
  </si>
  <si>
    <t>Selling expenses</t>
  </si>
  <si>
    <t>General administrative expenses</t>
  </si>
  <si>
    <t>Research and development costs</t>
  </si>
  <si>
    <t>Other operating income</t>
  </si>
  <si>
    <t>Other operating expense</t>
  </si>
  <si>
    <t>Equity-method gains/losses</t>
  </si>
  <si>
    <t>Other financial income/expense</t>
  </si>
  <si>
    <t>Interest income</t>
  </si>
  <si>
    <t>Interest expense</t>
  </si>
  <si>
    <t>Profit before taxes</t>
  </si>
  <si>
    <t>Income taxes</t>
  </si>
  <si>
    <t>Net profit</t>
  </si>
  <si>
    <t>Non-controlling interests</t>
  </si>
  <si>
    <t>Property, plant and equipment</t>
  </si>
  <si>
    <t>Other financial assets (non-current)</t>
  </si>
  <si>
    <t>Deferred tax assets</t>
  </si>
  <si>
    <t>Total non-current assets</t>
  </si>
  <si>
    <t>Inventories</t>
  </si>
  <si>
    <t>Trade receivables</t>
  </si>
  <si>
    <t>Cash and cash equivalents</t>
  </si>
  <si>
    <t>Other financial assets (current)</t>
  </si>
  <si>
    <t>Other assets (current)</t>
  </si>
  <si>
    <t>Assets held for sale</t>
  </si>
  <si>
    <t>Total current assets</t>
  </si>
  <si>
    <t>TOTAL ASSETS</t>
  </si>
  <si>
    <t>Capital reserves</t>
  </si>
  <si>
    <t>Retained earnings</t>
  </si>
  <si>
    <t>Other reserves</t>
  </si>
  <si>
    <t>Treasury shares</t>
  </si>
  <si>
    <t>TOTAL EQUITY</t>
  </si>
  <si>
    <t>Provisions for other risks (non-current)</t>
  </si>
  <si>
    <t>Financing liabilities (non-current)</t>
  </si>
  <si>
    <t>Other financial liabilities (non-current)</t>
  </si>
  <si>
    <t>Deferred tax liabilities</t>
  </si>
  <si>
    <t>Contract and refund liabilities (non-current)</t>
  </si>
  <si>
    <t>Income tax liabilities (non-current)</t>
  </si>
  <si>
    <t>Other liabilities (non-current)</t>
  </si>
  <si>
    <t>Total non-current liabilities</t>
  </si>
  <si>
    <t>Trade payables</t>
  </si>
  <si>
    <t>Provisions for other risks (current)</t>
  </si>
  <si>
    <t>Financing liabilities (current)</t>
  </si>
  <si>
    <t>Other financial liabilities (current)</t>
  </si>
  <si>
    <t>Contract and refund liabilities (current)</t>
  </si>
  <si>
    <t>Other liabilities (current)</t>
  </si>
  <si>
    <t>Liabilities held for sale</t>
  </si>
  <si>
    <t>Total current liabilities</t>
  </si>
  <si>
    <t>TOTAL LIABILITIES</t>
  </si>
  <si>
    <t>TOTAL EQUITY AND LIABILITIES</t>
  </si>
  <si>
    <t>Deferred income</t>
  </si>
  <si>
    <t>Equity</t>
  </si>
  <si>
    <t>Provisions</t>
  </si>
  <si>
    <t>Liabilities</t>
  </si>
  <si>
    <t>Itangible Assets</t>
  </si>
  <si>
    <t>Property, Plant and Equipment</t>
  </si>
  <si>
    <t>Equipment on Operating Leases</t>
  </si>
  <si>
    <t>Total Current Assets</t>
  </si>
  <si>
    <t>Share Capital</t>
  </si>
  <si>
    <t>Capital Reserves</t>
  </si>
  <si>
    <t>Retained Earnings</t>
  </si>
  <si>
    <t>Other Reserves</t>
  </si>
  <si>
    <t>Treasury Shares</t>
  </si>
  <si>
    <t>Equity-method Investments</t>
  </si>
  <si>
    <t>Receivables from Financial Services (non-current)</t>
  </si>
  <si>
    <t>Marketable Debt Securities (non-current)</t>
  </si>
  <si>
    <t>Deferred Tax Assets</t>
  </si>
  <si>
    <t>Income Tax Assets (non-current)</t>
  </si>
  <si>
    <t>Other Assets (non-current)</t>
  </si>
  <si>
    <t>Total non-current Assets</t>
  </si>
  <si>
    <t>Trade Receivables</t>
  </si>
  <si>
    <t>Receivables from Financial Services (current)</t>
  </si>
  <si>
    <t>Marketable debt Securities (current)</t>
  </si>
  <si>
    <t>Other financial Assets (current)</t>
  </si>
  <si>
    <t>Income tax Assets (current)</t>
  </si>
  <si>
    <t>Other Financial Assets (non-current)</t>
  </si>
  <si>
    <t>Total Current Liabilities</t>
  </si>
  <si>
    <t>Equity Attributal to Shareholders</t>
  </si>
  <si>
    <t>Non-controlling Interest</t>
  </si>
  <si>
    <t xml:space="preserve">TOTAL EQUITY  </t>
  </si>
  <si>
    <t>Provisions (non-current</t>
  </si>
  <si>
    <t>Other Financial Liabilities (non current)</t>
  </si>
  <si>
    <t>Deferred Tax Liabilities</t>
  </si>
  <si>
    <t>Deferred Income (non-current)</t>
  </si>
  <si>
    <t>Total non-current Liabilities</t>
  </si>
  <si>
    <t>Trade Payables</t>
  </si>
  <si>
    <t>Other Financial Liabilities (current)</t>
  </si>
  <si>
    <t>Deferred Income (current)</t>
  </si>
  <si>
    <t>Income Tax Liabilities (current)</t>
  </si>
  <si>
    <t>Sales revenue</t>
  </si>
  <si>
    <t>Gross result</t>
  </si>
  <si>
    <t>Distribution expenses</t>
  </si>
  <si>
    <t>Administrative expenses</t>
  </si>
  <si>
    <t>Other operating expenses</t>
  </si>
  <si>
    <t>Operating result</t>
  </si>
  <si>
    <t>Share of equity investments</t>
  </si>
  <si>
    <t>Interest expenses</t>
  </si>
  <si>
    <t>Other financial result</t>
  </si>
  <si>
    <t>Financial result</t>
  </si>
  <si>
    <t>Earnings before tax</t>
  </si>
  <si>
    <t>Income tax expense</t>
  </si>
  <si>
    <t>of which current</t>
  </si>
  <si>
    <t>of which deferred</t>
  </si>
  <si>
    <t>Earnings after tax</t>
  </si>
  <si>
    <t>Intangible assets</t>
  </si>
  <si>
    <t>Lease assets</t>
  </si>
  <si>
    <t>Investment property</t>
  </si>
  <si>
    <t>Equity-accounted investments</t>
  </si>
  <si>
    <t>Other equity investments</t>
  </si>
  <si>
    <t>Financial services receivables (non-current)</t>
  </si>
  <si>
    <t>Other receivables (non-current)</t>
  </si>
  <si>
    <t>Tax receivables (non-current)</t>
  </si>
  <si>
    <t>Financial services receivables (current)</t>
  </si>
  <si>
    <t>Other receivables (current)</t>
  </si>
  <si>
    <t>Tax receivables (current)</t>
  </si>
  <si>
    <t>Marketable securities and deposits</t>
  </si>
  <si>
    <t>Subscribed capital</t>
  </si>
  <si>
    <t>Equity attributable (VW shareholders &amp; hybrid)</t>
  </si>
  <si>
    <t>Financial liabilities (non-current)</t>
  </si>
  <si>
    <t>Provisions for pensions</t>
  </si>
  <si>
    <t>Provisions for taxes</t>
  </si>
  <si>
    <t>Other provisions</t>
  </si>
  <si>
    <t>Financial liabilities (current)</t>
  </si>
  <si>
    <t>Tax payables</t>
  </si>
  <si>
    <t>Revenues</t>
  </si>
  <si>
    <t>Research and development expenses</t>
  </si>
  <si>
    <t>Result on investments</t>
  </si>
  <si>
    <t>Profit after income tax</t>
  </si>
  <si>
    <t>Other taxes</t>
  </si>
  <si>
    <t>Unappropriated profit available for distribution</t>
  </si>
  <si>
    <t>Investments</t>
  </si>
  <si>
    <t>Tangible, intangible and investment assets</t>
  </si>
  <si>
    <t>Receivables from subsidiaries</t>
  </si>
  <si>
    <t>Other receivables and other assets</t>
  </si>
  <si>
    <t>Marketable securities</t>
  </si>
  <si>
    <t>Current assets</t>
  </si>
  <si>
    <t>Prepaid expenses</t>
  </si>
  <si>
    <t>Surplus pension and similar plan assets over liabilities</t>
  </si>
  <si>
    <t>Total assets</t>
  </si>
  <si>
    <t>Revenue reserves</t>
  </si>
  <si>
    <t>Pension provisions</t>
  </si>
  <si>
    <t>Liabilities to banks</t>
  </si>
  <si>
    <t>Liabilities to subsidiaries</t>
  </si>
  <si>
    <t>Other liabilities</t>
  </si>
  <si>
    <t>Total equity and liabilities</t>
  </si>
  <si>
    <t>Profit/Loss of Discontinued operations after tax</t>
  </si>
  <si>
    <t>Other Liabilities (current)</t>
  </si>
  <si>
    <t>Equity attributable (VW AG hybrid capital investors)</t>
  </si>
  <si>
    <t>BMW</t>
  </si>
  <si>
    <t>Mercedes</t>
  </si>
  <si>
    <t>Volkswagen</t>
  </si>
  <si>
    <t>Year</t>
  </si>
  <si>
    <t>Cost of Sales</t>
  </si>
  <si>
    <t>Gross Profit</t>
  </si>
  <si>
    <t>Operating Profit (EBIT)</t>
  </si>
  <si>
    <t>Discontinued Operations (After Tax)</t>
  </si>
  <si>
    <t>Total Operating Expenses</t>
  </si>
  <si>
    <t>Other Income / Loss</t>
  </si>
  <si>
    <t>Cash &amp; Cash Equivalents</t>
  </si>
  <si>
    <t>Other Current Assets</t>
  </si>
  <si>
    <t>Intangible Assets</t>
  </si>
  <si>
    <t>Property, Plant &amp; Equipment / Lease Assets</t>
  </si>
  <si>
    <t>Other Non-Current Assets</t>
  </si>
  <si>
    <t>Total Assets</t>
  </si>
  <si>
    <t>Assets</t>
  </si>
  <si>
    <t>Equity &amp; Liabilities</t>
  </si>
  <si>
    <t>Total Equity</t>
  </si>
  <si>
    <t>Financial Debt / Financing Liabilities</t>
  </si>
  <si>
    <t>Other Liabilities</t>
  </si>
  <si>
    <t>Total Liabilities</t>
  </si>
  <si>
    <t>Total Equity and Liabilities</t>
  </si>
  <si>
    <t>Model Helper</t>
  </si>
  <si>
    <t>Investments / Financial Receivables</t>
  </si>
  <si>
    <t>Receivables from Financial Services / Subsidiaries</t>
  </si>
  <si>
    <t>Profit Before Tax (EBT)</t>
  </si>
  <si>
    <t>Income Taxes</t>
  </si>
  <si>
    <t>Other Taxes</t>
  </si>
  <si>
    <t>Ratio</t>
  </si>
  <si>
    <t>Profitability</t>
  </si>
  <si>
    <t>Net Profit Margin</t>
  </si>
  <si>
    <t>EBIT Margin</t>
  </si>
  <si>
    <t>Gross Margin</t>
  </si>
  <si>
    <t>Efficiency</t>
  </si>
  <si>
    <t>Asset Turnover</t>
  </si>
  <si>
    <t>Leverage</t>
  </si>
  <si>
    <t>Equity Multiplier</t>
  </si>
  <si>
    <t>Debt Ratio</t>
  </si>
  <si>
    <t>Liquidity</t>
  </si>
  <si>
    <t>Current Ratio</t>
  </si>
  <si>
    <t>Gross Profit %</t>
  </si>
  <si>
    <t>OPEX</t>
  </si>
  <si>
    <t>EBIT</t>
  </si>
  <si>
    <t>EBT</t>
  </si>
  <si>
    <t xml:space="preserve">Revenue </t>
  </si>
  <si>
    <t>Average Assets</t>
  </si>
  <si>
    <t>DuPont Metric</t>
  </si>
  <si>
    <t>DuPont Result</t>
  </si>
  <si>
    <t>Return on Equity</t>
  </si>
  <si>
    <t>ROA</t>
  </si>
  <si>
    <t>Company</t>
  </si>
  <si>
    <t>Selected Ratio</t>
  </si>
  <si>
    <t>Metric</t>
  </si>
  <si>
    <t>Revenue Growth</t>
  </si>
  <si>
    <t>Net Income Growth</t>
  </si>
  <si>
    <t>Total Assets Growth</t>
  </si>
  <si>
    <t>Equity Growth</t>
  </si>
  <si>
    <t>Selected Metric</t>
  </si>
  <si>
    <t>Introduction &amp; Information</t>
  </si>
  <si>
    <t>MODEL AND FINANCIAL DATA DO NOT CONTAIN ANY SENSITIVE DATA &amp; FINANCIAL ADVICE</t>
  </si>
  <si>
    <t xml:space="preserve">Please do not publish the model anywhere. But if you are interested in using or developing the model for your personal development &amp; curiosity, feel free </t>
  </si>
  <si>
    <t>Enjoy Exploring!</t>
  </si>
  <si>
    <t>Best Regards,</t>
  </si>
  <si>
    <t>Berk Tansuker</t>
  </si>
  <si>
    <t xml:space="preserve">Github </t>
  </si>
  <si>
    <t>LinkedIn</t>
  </si>
  <si>
    <t>E-Mail</t>
  </si>
  <si>
    <t>All previous financial data were taked from Annual Reports - All publicly available</t>
  </si>
  <si>
    <t>Purpose of creating this model is purely for personal development &amp; practice &amp; curiosity</t>
  </si>
  <si>
    <t xml:space="preserve">If you`d like to discuss the model or have any questions about calculations &amp; formulas, please contact 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</si>
</sst>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50"/>
      <color theme="0"/>
      <name val="Arial"/>
      <family val="2"/>
    </font>
    <font>
      <b/>
      <sz val="15"/>
      <color theme="1"/>
      <name val="Arial"/>
      <family val="2"/>
    </font>
    <font>
      <b/>
      <sz val="15"/>
      <color theme="0"/>
      <name val="Arial"/>
      <family val="2"/>
    </font>
    <font>
      <sz val="15"/>
      <color theme="1"/>
      <name val="Arial"/>
      <family val="2"/>
    </font>
    <font>
      <u/>
      <sz val="10"/>
      <color theme="10"/>
      <name val="Arial"/>
      <family val="2"/>
    </font>
    <font>
      <b/>
      <u/>
      <sz val="15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1" fillId="2" borderId="0" xfId="0" applyFont="1" applyFill="1"/>
    <xf numFmtId="37" fontId="0" fillId="2" borderId="0" xfId="0" applyNumberFormat="1" applyFill="1"/>
    <xf numFmtId="37" fontId="1" fillId="2" borderId="0" xfId="0" applyNumberFormat="1" applyFont="1" applyFill="1"/>
    <xf numFmtId="0" fontId="1" fillId="4" borderId="0" xfId="0" applyFont="1" applyFill="1"/>
    <xf numFmtId="0" fontId="0" fillId="2" borderId="1" xfId="0" applyFill="1" applyBorder="1"/>
    <xf numFmtId="0" fontId="1" fillId="2" borderId="1" xfId="0" applyFont="1" applyFill="1" applyBorder="1"/>
    <xf numFmtId="37" fontId="0" fillId="2" borderId="2" xfId="0" applyNumberFormat="1" applyFill="1" applyBorder="1"/>
    <xf numFmtId="37" fontId="1" fillId="2" borderId="2" xfId="0" applyNumberFormat="1" applyFont="1" applyFill="1" applyBorder="1"/>
    <xf numFmtId="0" fontId="0" fillId="2" borderId="2" xfId="0" applyFill="1" applyBorder="1"/>
    <xf numFmtId="37" fontId="0" fillId="2" borderId="1" xfId="0" applyNumberFormat="1" applyFill="1" applyBorder="1"/>
    <xf numFmtId="37" fontId="1" fillId="2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37" fontId="1" fillId="2" borderId="6" xfId="0" applyNumberFormat="1" applyFont="1" applyFill="1" applyBorder="1"/>
    <xf numFmtId="37" fontId="1" fillId="2" borderId="5" xfId="0" applyNumberFormat="1" applyFont="1" applyFill="1" applyBorder="1"/>
    <xf numFmtId="0" fontId="1" fillId="4" borderId="1" xfId="0" applyFont="1" applyFill="1" applyBorder="1"/>
    <xf numFmtId="9" fontId="0" fillId="2" borderId="0" xfId="0" applyNumberFormat="1" applyFill="1"/>
    <xf numFmtId="164" fontId="0" fillId="2" borderId="2" xfId="1" applyNumberFormat="1" applyFont="1" applyFill="1" applyBorder="1"/>
    <xf numFmtId="164" fontId="1" fillId="2" borderId="6" xfId="1" applyNumberFormat="1" applyFont="1" applyFill="1" applyBorder="1"/>
    <xf numFmtId="164" fontId="1" fillId="2" borderId="2" xfId="1" applyNumberFormat="1" applyFont="1" applyFill="1" applyBorder="1"/>
    <xf numFmtId="9" fontId="0" fillId="2" borderId="1" xfId="1" applyFont="1" applyFill="1" applyBorder="1"/>
    <xf numFmtId="9" fontId="1" fillId="2" borderId="1" xfId="1" applyFont="1" applyFill="1" applyBorder="1"/>
    <xf numFmtId="9" fontId="1" fillId="2" borderId="5" xfId="1" applyFont="1" applyFill="1" applyBorder="1"/>
    <xf numFmtId="9" fontId="1" fillId="2" borderId="6" xfId="1" applyFont="1" applyFill="1" applyBorder="1"/>
    <xf numFmtId="9" fontId="3" fillId="2" borderId="1" xfId="1" applyFont="1" applyFill="1" applyBorder="1"/>
    <xf numFmtId="0" fontId="2" fillId="3" borderId="0" xfId="0" applyFont="1" applyFill="1"/>
    <xf numFmtId="0" fontId="1" fillId="5" borderId="0" xfId="0" applyFont="1" applyFill="1"/>
    <xf numFmtId="9" fontId="0" fillId="2" borderId="0" xfId="1" applyFont="1" applyFill="1"/>
    <xf numFmtId="164" fontId="0" fillId="2" borderId="0" xfId="1" applyNumberFormat="1" applyFont="1" applyFill="1"/>
    <xf numFmtId="2" fontId="0" fillId="2" borderId="0" xfId="1" applyNumberFormat="1" applyFont="1" applyFill="1"/>
    <xf numFmtId="9" fontId="0" fillId="2" borderId="2" xfId="1" applyFont="1" applyFill="1" applyBorder="1"/>
    <xf numFmtId="165" fontId="0" fillId="2" borderId="0" xfId="1" applyNumberFormat="1" applyFont="1" applyFill="1"/>
    <xf numFmtId="0" fontId="1" fillId="6" borderId="0" xfId="0" applyFont="1" applyFill="1"/>
    <xf numFmtId="0" fontId="1" fillId="7" borderId="0" xfId="0" applyFont="1" applyFill="1"/>
    <xf numFmtId="0" fontId="1" fillId="5" borderId="0" xfId="0" applyFont="1" applyFill="1" applyAlignment="1">
      <alignment vertical="center"/>
    </xf>
    <xf numFmtId="0" fontId="1" fillId="5" borderId="7" xfId="0" applyFont="1" applyFill="1" applyBorder="1" applyAlignment="1">
      <alignment vertical="center"/>
    </xf>
    <xf numFmtId="0" fontId="0" fillId="2" borderId="7" xfId="0" applyFill="1" applyBorder="1"/>
    <xf numFmtId="164" fontId="0" fillId="2" borderId="7" xfId="1" applyNumberFormat="1" applyFont="1" applyFill="1" applyBorder="1"/>
    <xf numFmtId="0" fontId="2" fillId="3" borderId="7" xfId="0" applyFont="1" applyFill="1" applyBorder="1"/>
    <xf numFmtId="9" fontId="0" fillId="2" borderId="7" xfId="1" applyFont="1" applyFill="1" applyBorder="1"/>
    <xf numFmtId="0" fontId="1" fillId="8" borderId="0" xfId="0" applyFont="1" applyFill="1"/>
    <xf numFmtId="0" fontId="2" fillId="3" borderId="0" xfId="0" applyFont="1" applyFill="1" applyAlignment="1">
      <alignment horizontal="center"/>
    </xf>
    <xf numFmtId="0" fontId="4" fillId="3" borderId="0" xfId="0" applyFont="1" applyFill="1"/>
    <xf numFmtId="0" fontId="5" fillId="2" borderId="0" xfId="0" applyFont="1" applyFill="1"/>
    <xf numFmtId="0" fontId="6" fillId="3" borderId="0" xfId="0" applyFont="1" applyFill="1"/>
    <xf numFmtId="0" fontId="7" fillId="2" borderId="0" xfId="0" applyFont="1" applyFill="1"/>
    <xf numFmtId="0" fontId="9" fillId="2" borderId="0" xfId="2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Gross Profit</a:t>
            </a:r>
            <a:r>
              <a:rPr lang="en-GB" b="1" baseline="0"/>
              <a:t>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'02_Common_Size_Output'!$A$3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'02_Common_Size_Output'!$B$3:$F$3</c:f>
              <c:numCache>
                <c:formatCode>0.0%</c:formatCode>
                <c:ptCount val="5"/>
                <c:pt idx="0">
                  <c:v>0.18348281860696292</c:v>
                </c:pt>
                <c:pt idx="1">
                  <c:v>0.17361118139403078</c:v>
                </c:pt>
                <c:pt idx="2">
                  <c:v>0.15767469455105029</c:v>
                </c:pt>
                <c:pt idx="3">
                  <c:v>0.16239543473513299</c:v>
                </c:pt>
                <c:pt idx="4">
                  <c:v>0.15078184302413847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2-46EC-82E7-150E9A884AB4}"/>
            </c:ext>
          </c:extLst>
        </c:ser>
        <c:ser>
          <c:idx val="1"/>
          <c:order val="1"/>
          <c:tx>
            <c:strRef>
              <c:f>'02_Common_Size_Output'!$A$4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'02_Common_Size_Output'!$B$4:$F$4</c:f>
              <c:numCache>
                <c:formatCode>0.0%</c:formatCode>
                <c:ptCount val="5"/>
                <c:pt idx="0">
                  <c:v>0.22910084918554369</c:v>
                </c:pt>
                <c:pt idx="1">
                  <c:v>0.22677429891278988</c:v>
                </c:pt>
                <c:pt idx="2">
                  <c:v>0.22437964207860694</c:v>
                </c:pt>
                <c:pt idx="3">
                  <c:v>0.19627182438836765</c:v>
                </c:pt>
                <c:pt idx="4">
                  <c:v>0.16891554600874339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62-46EC-82E7-150E9A884AB4}"/>
            </c:ext>
          </c:extLst>
        </c:ser>
        <c:ser>
          <c:idx val="2"/>
          <c:order val="2"/>
          <c:tx>
            <c:strRef>
              <c:f>'02_Common_Size_Output'!$A$5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'02_Common_Size_Output'!$B$5:$F$5</c:f>
              <c:numCache>
                <c:formatCode>0.0%</c:formatCode>
                <c:ptCount val="5"/>
                <c:pt idx="0">
                  <c:v>0.18881294964028777</c:v>
                </c:pt>
                <c:pt idx="1">
                  <c:v>0.18700591291883176</c:v>
                </c:pt>
                <c:pt idx="2">
                  <c:v>0.18934231919673331</c:v>
                </c:pt>
                <c:pt idx="3">
                  <c:v>0.18318466315115076</c:v>
                </c:pt>
                <c:pt idx="4">
                  <c:v>0.15918276055953007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62-46EC-82E7-150E9A884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931664"/>
        <c:axId val="1037932144"/>
      </c:lineChart>
      <c:catAx>
        <c:axId val="103793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32144"/>
        <c:crosses val="autoZero"/>
        <c:auto val="1"/>
        <c:lblAlgn val="ctr"/>
        <c:lblOffset val="100"/>
        <c:noMultiLvlLbl val="0"/>
      </c:catAx>
      <c:valAx>
        <c:axId val="1037932144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3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'02_Common_Size_Output'!$A$11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'02_Common_Size_Output'!$B$10:$F$10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'02_Common_Size_Output'!$B$11:$F$11</c:f>
              <c:numCache>
                <c:formatCode>0.0%</c:formatCode>
                <c:ptCount val="5"/>
                <c:pt idx="0">
                  <c:v>0.14473713937148408</c:v>
                </c:pt>
                <c:pt idx="1">
                  <c:v>0.15002985618427844</c:v>
                </c:pt>
                <c:pt idx="2">
                  <c:v>0.13966294009677957</c:v>
                </c:pt>
                <c:pt idx="3">
                  <c:v>0.1570021933780871</c:v>
                </c:pt>
                <c:pt idx="4">
                  <c:v>0.1535448610900258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2-43A2-BD67-3444C9D01AE2}"/>
            </c:ext>
          </c:extLst>
        </c:ser>
        <c:ser>
          <c:idx val="1"/>
          <c:order val="1"/>
          <c:tx>
            <c:strRef>
              <c:f>'02_Common_Size_Output'!$A$12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'02_Common_Size_Output'!$B$10:$F$10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'02_Common_Size_Output'!$B$12:$F$12</c:f>
              <c:numCache>
                <c:formatCode>0.0%</c:formatCode>
                <c:ptCount val="5"/>
                <c:pt idx="0">
                  <c:v>0.12185849895065463</c:v>
                </c:pt>
                <c:pt idx="1">
                  <c:v>0.10421485564969303</c:v>
                </c:pt>
                <c:pt idx="2">
                  <c:v>0.1106658486600791</c:v>
                </c:pt>
                <c:pt idx="3">
                  <c:v>0.11043037487808563</c:v>
                </c:pt>
                <c:pt idx="4">
                  <c:v>0.13405539504137232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2-43A2-BD67-3444C9D01AE2}"/>
            </c:ext>
          </c:extLst>
        </c:ser>
        <c:ser>
          <c:idx val="2"/>
          <c:order val="2"/>
          <c:tx>
            <c:strRef>
              <c:f>'02_Common_Size_Output'!$A$13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'02_Common_Size_Output'!$B$10:$F$10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'02_Common_Size_Output'!$B$13:$F$13</c:f>
              <c:numCache>
                <c:formatCode>0.0%</c:formatCode>
                <c:ptCount val="5"/>
                <c:pt idx="0">
                  <c:v>0.11177458033573141</c:v>
                </c:pt>
                <c:pt idx="1">
                  <c:v>0.10777280057337395</c:v>
                </c:pt>
                <c:pt idx="2">
                  <c:v>0.11929230120018369</c:v>
                </c:pt>
                <c:pt idx="3">
                  <c:v>0.12447636883347298</c:v>
                </c:pt>
                <c:pt idx="4">
                  <c:v>0.13163183841596954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72-43A2-BD67-3444C9D0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994544"/>
        <c:axId val="1037987824"/>
      </c:lineChart>
      <c:catAx>
        <c:axId val="103799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87824"/>
        <c:crosses val="autoZero"/>
        <c:auto val="1"/>
        <c:lblAlgn val="ctr"/>
        <c:lblOffset val="100"/>
        <c:noMultiLvlLbl val="0"/>
      </c:catAx>
      <c:valAx>
        <c:axId val="103798782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9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'02_Common_Size_Output'!$A$19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'02_Common_Size_Output'!$B$18:$F$18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'02_Common_Size_Output'!$B$19:$F$19</c:f>
              <c:numCache>
                <c:formatCode>0.0%</c:formatCode>
                <c:ptCount val="5"/>
                <c:pt idx="0">
                  <c:v>3.8745679235478843E-2</c:v>
                </c:pt>
                <c:pt idx="1">
                  <c:v>2.3581325209752344E-2</c:v>
                </c:pt>
                <c:pt idx="2">
                  <c:v>1.8011754454270723E-2</c:v>
                </c:pt>
                <c:pt idx="3">
                  <c:v>5.3932413570458712E-3</c:v>
                </c:pt>
                <c:pt idx="4">
                  <c:v>-2.7630180658873541E-3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6-47A8-86E8-40D332802522}"/>
            </c:ext>
          </c:extLst>
        </c:ser>
        <c:ser>
          <c:idx val="1"/>
          <c:order val="1"/>
          <c:tx>
            <c:strRef>
              <c:f>'02_Common_Size_Output'!$A$20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'02_Common_Size_Output'!$B$18:$F$18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'02_Common_Size_Output'!$B$20:$F$20</c:f>
              <c:numCache>
                <c:formatCode>0.0%</c:formatCode>
                <c:ptCount val="5"/>
                <c:pt idx="0">
                  <c:v>0.10724235023488905</c:v>
                </c:pt>
                <c:pt idx="1">
                  <c:v>0.12255944326309685</c:v>
                </c:pt>
                <c:pt idx="2">
                  <c:v>0.11371379341852784</c:v>
                </c:pt>
                <c:pt idx="3">
                  <c:v>8.5841449510282011E-2</c:v>
                </c:pt>
                <c:pt idx="4">
                  <c:v>3.4860150967371079E-2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16-47A8-86E8-40D332802522}"/>
            </c:ext>
          </c:extLst>
        </c:ser>
        <c:ser>
          <c:idx val="2"/>
          <c:order val="2"/>
          <c:tx>
            <c:strRef>
              <c:f>'02_Common_Size_Output'!$A$21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'02_Common_Size_Output'!$B$18:$F$18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'02_Common_Size_Output'!$B$21:$F$21</c:f>
              <c:numCache>
                <c:formatCode>0.0%</c:formatCode>
                <c:ptCount val="5"/>
                <c:pt idx="0">
                  <c:v>7.7038369304556362E-2</c:v>
                </c:pt>
                <c:pt idx="1">
                  <c:v>7.923311234545781E-2</c:v>
                </c:pt>
                <c:pt idx="2">
                  <c:v>7.0050017996549627E-2</c:v>
                </c:pt>
                <c:pt idx="3">
                  <c:v>5.8708294317677788E-2</c:v>
                </c:pt>
                <c:pt idx="4">
                  <c:v>2.7550922143560527E-2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6-47A8-86E8-40D332802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995984"/>
        <c:axId val="1037996944"/>
      </c:lineChart>
      <c:catAx>
        <c:axId val="103799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96944"/>
        <c:crosses val="autoZero"/>
        <c:auto val="1"/>
        <c:lblAlgn val="ctr"/>
        <c:lblOffset val="100"/>
        <c:noMultiLvlLbl val="0"/>
      </c:catAx>
      <c:valAx>
        <c:axId val="1037996944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9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0802058671285"/>
          <c:y val="0.20941068484101735"/>
          <c:w val="0.84613720275760962"/>
          <c:h val="0.55491049565375483"/>
        </c:manualLayout>
      </c:layout>
      <c:lineChart>
        <c:grouping val="standard"/>
        <c:varyColors val="0"/>
        <c:ser>
          <c:idx val="0"/>
          <c:order val="0"/>
          <c:tx>
            <c:strRef>
              <c:f>'02_Common_Size_Output'!$A$27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'02_Common_Size_Output'!$B$27:$F$27</c:f>
              <c:numCache>
                <c:formatCode>0.0%</c:formatCode>
                <c:ptCount val="5"/>
                <c:pt idx="0">
                  <c:v>6.7720217789124099E-2</c:v>
                </c:pt>
                <c:pt idx="1">
                  <c:v>8.0196747194024712E-2</c:v>
                </c:pt>
                <c:pt idx="2">
                  <c:v>5.0531175260025582E-2</c:v>
                </c:pt>
                <c:pt idx="3">
                  <c:v>3.8996553263005974E-2</c:v>
                </c:pt>
                <c:pt idx="4">
                  <c:v>4.2801477658013259E-2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2-4862-902D-6DC3F96417DD}"/>
            </c:ext>
          </c:extLst>
        </c:ser>
        <c:ser>
          <c:idx val="1"/>
          <c:order val="1"/>
          <c:tx>
            <c:strRef>
              <c:f>'02_Common_Size_Output'!$A$28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'02_Common_Size_Output'!$B$28:$F$28</c:f>
              <c:numCache>
                <c:formatCode>0.0%</c:formatCode>
                <c:ptCount val="5"/>
                <c:pt idx="0">
                  <c:v>0.11808683052885513</c:v>
                </c:pt>
                <c:pt idx="1">
                  <c:v>0.13534466093842698</c:v>
                </c:pt>
                <c:pt idx="2">
                  <c:v>0.13108120455821118</c:v>
                </c:pt>
                <c:pt idx="3">
                  <c:v>9.7167465692267543E-2</c:v>
                </c:pt>
                <c:pt idx="4">
                  <c:v>4.7529006005415465E-2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2-4862-902D-6DC3F96417DD}"/>
            </c:ext>
          </c:extLst>
        </c:ser>
        <c:ser>
          <c:idx val="2"/>
          <c:order val="2"/>
          <c:tx>
            <c:strRef>
              <c:f>'02_Common_Size_Output'!$A$29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'02_Common_Size_Output'!$B$26:$F$26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'02_Common_Size_Output'!$B$29:$F$29</c:f>
              <c:numCache>
                <c:formatCode>0.0%</c:formatCode>
                <c:ptCount val="5"/>
                <c:pt idx="0">
                  <c:v>8.0435651478816941E-2</c:v>
                </c:pt>
                <c:pt idx="1">
                  <c:v>7.9093352445798237E-2</c:v>
                </c:pt>
                <c:pt idx="2">
                  <c:v>7.1967581387844259E-2</c:v>
                </c:pt>
                <c:pt idx="3">
                  <c:v>5.1765561086195851E-2</c:v>
                </c:pt>
                <c:pt idx="4">
                  <c:v>2.8914644640011433E-2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F2-4862-902D-6DC3F964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891824"/>
        <c:axId val="1037903344"/>
      </c:lineChart>
      <c:catAx>
        <c:axId val="10378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03344"/>
        <c:crosses val="autoZero"/>
        <c:auto val="1"/>
        <c:lblAlgn val="ctr"/>
        <c:lblOffset val="100"/>
        <c:noMultiLvlLbl val="0"/>
      </c:catAx>
      <c:valAx>
        <c:axId val="10379033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9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Total Current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'02_Common_Size_Output'!$A$35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'02_Common_Size_Output'!$B$34:$F$34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'02_Common_Size_Output'!$B$35:$F$35</c:f>
              <c:numCache>
                <c:formatCode>0.0%</c:formatCode>
                <c:ptCount val="5"/>
                <c:pt idx="0">
                  <c:v>0.69602040027818557</c:v>
                </c:pt>
                <c:pt idx="1">
                  <c:v>0.61716706116855613</c:v>
                </c:pt>
                <c:pt idx="2">
                  <c:v>0.56354682708185888</c:v>
                </c:pt>
                <c:pt idx="3">
                  <c:v>0.54402884182063993</c:v>
                </c:pt>
                <c:pt idx="4">
                  <c:v>0.56205541532813219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3-49F5-9485-3294879A79EC}"/>
            </c:ext>
          </c:extLst>
        </c:ser>
        <c:ser>
          <c:idx val="1"/>
          <c:order val="1"/>
          <c:tx>
            <c:strRef>
              <c:f>'02_Common_Size_Output'!$A$36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'02_Common_Size_Output'!$B$34:$F$34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'02_Common_Size_Output'!$B$36:$F$36</c:f>
              <c:numCache>
                <c:formatCode>0.0%</c:formatCode>
                <c:ptCount val="5"/>
                <c:pt idx="0">
                  <c:v>0.39613825909918371</c:v>
                </c:pt>
                <c:pt idx="1">
                  <c:v>0.39564640501509529</c:v>
                </c:pt>
                <c:pt idx="2">
                  <c:v>0.39552584954870695</c:v>
                </c:pt>
                <c:pt idx="3">
                  <c:v>0.38401192407833667</c:v>
                </c:pt>
                <c:pt idx="4">
                  <c:v>0.39978705581173229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43-49F5-9485-3294879A79EC}"/>
            </c:ext>
          </c:extLst>
        </c:ser>
        <c:ser>
          <c:idx val="2"/>
          <c:order val="2"/>
          <c:tx>
            <c:strRef>
              <c:f>'02_Common_Size_Output'!$A$37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'02_Common_Size_Output'!$B$34:$F$34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'02_Common_Size_Output'!$B$37:$F$37</c:f>
              <c:numCache>
                <c:formatCode>0.0%</c:formatCode>
                <c:ptCount val="5"/>
                <c:pt idx="0">
                  <c:v>0.37900792457184801</c:v>
                </c:pt>
                <c:pt idx="1">
                  <c:v>0.39743587470501568</c:v>
                </c:pt>
                <c:pt idx="2">
                  <c:v>0.3991817942559025</c:v>
                </c:pt>
                <c:pt idx="3">
                  <c:v>0.38746889343582369</c:v>
                </c:pt>
                <c:pt idx="4">
                  <c:v>0.38460464228579588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43-49F5-9485-3294879A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900464"/>
        <c:axId val="1037894704"/>
      </c:lineChart>
      <c:catAx>
        <c:axId val="103790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94704"/>
        <c:crosses val="autoZero"/>
        <c:auto val="1"/>
        <c:lblAlgn val="ctr"/>
        <c:lblOffset val="100"/>
        <c:noMultiLvlLbl val="0"/>
      </c:catAx>
      <c:valAx>
        <c:axId val="10378947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0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'02_Common_Size_Output'!$A$43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'02_Common_Size_Output'!$B$42:$F$42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'02_Common_Size_Output'!$B$43:$F$43</c:f>
              <c:numCache>
                <c:formatCode>0.0%</c:formatCode>
                <c:ptCount val="5"/>
                <c:pt idx="0">
                  <c:v>0.29251217062050844</c:v>
                </c:pt>
                <c:pt idx="1">
                  <c:v>0.27986102459753887</c:v>
                </c:pt>
                <c:pt idx="2">
                  <c:v>0.26439018636470868</c:v>
                </c:pt>
                <c:pt idx="3">
                  <c:v>0.25048820790145709</c:v>
                </c:pt>
                <c:pt idx="4">
                  <c:v>0.24024782010096374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9-482F-8F65-623909A64695}"/>
            </c:ext>
          </c:extLst>
        </c:ser>
        <c:ser>
          <c:idx val="1"/>
          <c:order val="1"/>
          <c:tx>
            <c:strRef>
              <c:f>'02_Common_Size_Output'!$A$44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'02_Common_Size_Output'!$B$42:$F$42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'02_Common_Size_Output'!$B$44:$F$44</c:f>
              <c:numCache>
                <c:formatCode>0.0%</c:formatCode>
                <c:ptCount val="5"/>
                <c:pt idx="0">
                  <c:v>0.28159457493524637</c:v>
                </c:pt>
                <c:pt idx="1">
                  <c:v>0.33282695229121395</c:v>
                </c:pt>
                <c:pt idx="2">
                  <c:v>0.35288302879607031</c:v>
                </c:pt>
                <c:pt idx="3">
                  <c:v>0.35330742236142032</c:v>
                </c:pt>
                <c:pt idx="4">
                  <c:v>0.36889449085201159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B9-482F-8F65-623909A64695}"/>
            </c:ext>
          </c:extLst>
        </c:ser>
        <c:ser>
          <c:idx val="2"/>
          <c:order val="2"/>
          <c:tx>
            <c:strRef>
              <c:f>'02_Common_Size_Output'!$A$45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'02_Common_Size_Output'!$B$42:$F$42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'02_Common_Size_Output'!$B$45:$F$45</c:f>
              <c:numCache>
                <c:formatCode>0.0%</c:formatCode>
                <c:ptCount val="5"/>
                <c:pt idx="0">
                  <c:v>0.2764879145076985</c:v>
                </c:pt>
                <c:pt idx="1">
                  <c:v>0.31617710939286858</c:v>
                </c:pt>
                <c:pt idx="2">
                  <c:v>0.31634179412264424</c:v>
                </c:pt>
                <c:pt idx="3">
                  <c:v>0.31083811946500661</c:v>
                </c:pt>
                <c:pt idx="4">
                  <c:v>0.31507276555665381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9-482F-8F65-623909A64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896144"/>
        <c:axId val="1037907184"/>
      </c:lineChart>
      <c:catAx>
        <c:axId val="103789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07184"/>
        <c:crosses val="autoZero"/>
        <c:auto val="1"/>
        <c:lblAlgn val="ctr"/>
        <c:lblOffset val="100"/>
        <c:noMultiLvlLbl val="0"/>
      </c:catAx>
      <c:valAx>
        <c:axId val="10379071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9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Net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'04_DuPont'!$A$3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'04_DuPont'!$B$2:$F$2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'04_DuPont'!$B$3:$F$3</c:f>
              <c:numCache>
                <c:formatCode>0.0%</c:formatCode>
                <c:ptCount val="5"/>
                <c:pt idx="0">
                  <c:v>5.5463931500350179E-2</c:v>
                </c:pt>
                <c:pt idx="1">
                  <c:v>6.3871992874998729E-2</c:v>
                </c:pt>
                <c:pt idx="2">
                  <c:v>4.0473144594619648E-2</c:v>
                </c:pt>
                <c:pt idx="3">
                  <c:v>3.3460884757446567E-2</c:v>
                </c:pt>
                <c:pt idx="4">
                  <c:v>3.9744952178533473E-2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9-4960-90B3-ACAF4185CBFC}"/>
            </c:ext>
          </c:extLst>
        </c:ser>
        <c:ser>
          <c:idx val="1"/>
          <c:order val="1"/>
          <c:tx>
            <c:strRef>
              <c:f>'04_DuPont'!$A$4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'04_DuPont'!$B$2:$F$2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'04_DuPont'!$B$4:$F$4</c:f>
              <c:numCache>
                <c:formatCode>0.0%</c:formatCode>
                <c:ptCount val="5"/>
                <c:pt idx="0">
                  <c:v>0.17473654335924954</c:v>
                </c:pt>
                <c:pt idx="1">
                  <c:v>9.8715478912389923E-2</c:v>
                </c:pt>
                <c:pt idx="2">
                  <c:v>9.4838726520382721E-2</c:v>
                </c:pt>
                <c:pt idx="3">
                  <c:v>7.1493330769125105E-2</c:v>
                </c:pt>
                <c:pt idx="4">
                  <c:v>4.0320994750934092E-2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9-4960-90B3-ACAF4185CBFC}"/>
            </c:ext>
          </c:extLst>
        </c:ser>
        <c:ser>
          <c:idx val="2"/>
          <c:order val="2"/>
          <c:tx>
            <c:strRef>
              <c:f>'04_DuPont'!$A$5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'04_DuPont'!$B$2:$F$2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'04_DuPont'!$B$5:$F$5</c:f>
              <c:numCache>
                <c:formatCode>0.0%</c:formatCode>
                <c:ptCount val="5"/>
                <c:pt idx="0">
                  <c:v>6.1658673061550762E-2</c:v>
                </c:pt>
                <c:pt idx="1">
                  <c:v>5.6814191005196205E-2</c:v>
                </c:pt>
                <c:pt idx="2">
                  <c:v>5.5627955467848232E-2</c:v>
                </c:pt>
                <c:pt idx="3">
                  <c:v>3.8178872406485632E-2</c:v>
                </c:pt>
                <c:pt idx="4">
                  <c:v>2.1449894847365591E-2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9-4960-90B3-ACAF4185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167215"/>
        <c:axId val="623160975"/>
      </c:lineChart>
      <c:catAx>
        <c:axId val="62316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0975"/>
        <c:crosses val="autoZero"/>
        <c:auto val="1"/>
        <c:lblAlgn val="ctr"/>
        <c:lblOffset val="100"/>
        <c:noMultiLvlLbl val="0"/>
      </c:catAx>
      <c:valAx>
        <c:axId val="62316097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Asset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'04_DuPont'!$A$8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'04_DuPont'!$B$7:$F$7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'04_DuPont'!$B$8:$F$8</c:f>
              <c:numCache>
                <c:formatCode>0.0%</c:formatCode>
                <c:ptCount val="5"/>
                <c:pt idx="0">
                  <c:v>1.4471535412154155</c:v>
                </c:pt>
                <c:pt idx="1">
                  <c:v>1.4429856587901977</c:v>
                </c:pt>
                <c:pt idx="2">
                  <c:v>1.5403199897192059</c:v>
                </c:pt>
                <c:pt idx="3">
                  <c:v>1.5672872300846763</c:v>
                </c:pt>
                <c:pt idx="4">
                  <c:v>1.4498378552876785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C-4718-94EB-F07B4170D109}"/>
            </c:ext>
          </c:extLst>
        </c:ser>
        <c:ser>
          <c:idx val="1"/>
          <c:order val="1"/>
          <c:tx>
            <c:strRef>
              <c:f>'04_DuPont'!$A$9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'04_DuPont'!$B$7:$F$7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'04_DuPont'!$B$9:$F$9</c:f>
              <c:numCache>
                <c:formatCode>0.0%</c:formatCode>
                <c:ptCount val="5"/>
                <c:pt idx="0">
                  <c:v>0.49083890550765441</c:v>
                </c:pt>
                <c:pt idx="1">
                  <c:v>0.57715938951150914</c:v>
                </c:pt>
                <c:pt idx="2">
                  <c:v>0.58587824570728264</c:v>
                </c:pt>
                <c:pt idx="3">
                  <c:v>0.55145900248469792</c:v>
                </c:pt>
                <c:pt idx="4">
                  <c:v>0.50805032316571752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5C-4718-94EB-F07B4170D109}"/>
            </c:ext>
          </c:extLst>
        </c:ser>
        <c:ser>
          <c:idx val="2"/>
          <c:order val="2"/>
          <c:tx>
            <c:strRef>
              <c:f>'04_DuPont'!$A$10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'04_DuPont'!$B$7:$F$7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'04_DuPont'!$B$10:$F$10</c:f>
              <c:numCache>
                <c:formatCode>0.0%</c:formatCode>
                <c:ptCount val="5"/>
                <c:pt idx="0">
                  <c:v>0.487851008508145</c:v>
                </c:pt>
                <c:pt idx="1">
                  <c:v>0.51078964179743769</c:v>
                </c:pt>
                <c:pt idx="2">
                  <c:v>0.55358564556564127</c:v>
                </c:pt>
                <c:pt idx="3">
                  <c:v>0.52650775232456215</c:v>
                </c:pt>
                <c:pt idx="4">
                  <c:v>0.50402388654205665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5C-4718-94EB-F07B4170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162895"/>
        <c:axId val="623163855"/>
      </c:lineChart>
      <c:catAx>
        <c:axId val="6231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3855"/>
        <c:crosses val="autoZero"/>
        <c:auto val="1"/>
        <c:lblAlgn val="ctr"/>
        <c:lblOffset val="100"/>
        <c:noMultiLvlLbl val="0"/>
      </c:catAx>
      <c:valAx>
        <c:axId val="62316385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Equity</a:t>
            </a:r>
            <a:r>
              <a:rPr lang="en-GB" b="1" baseline="0"/>
              <a:t> Multiplier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'04_DuPont'!$A$13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'04_DuPont'!$B$12:$F$12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'04_DuPont'!$B$13:$F$13</c:f>
              <c:numCache>
                <c:formatCode>0.00</c:formatCode>
                <c:ptCount val="5"/>
                <c:pt idx="0">
                  <c:v>3.4186611718708724</c:v>
                </c:pt>
                <c:pt idx="1">
                  <c:v>3.5732020971411611</c:v>
                </c:pt>
                <c:pt idx="2">
                  <c:v>3.7822886459959846</c:v>
                </c:pt>
                <c:pt idx="3">
                  <c:v>3.9922038980509749</c:v>
                </c:pt>
                <c:pt idx="4">
                  <c:v>4.1623686723973261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5-4E5A-A00D-8AE85A8301F2}"/>
            </c:ext>
          </c:extLst>
        </c:ser>
        <c:ser>
          <c:idx val="1"/>
          <c:order val="1"/>
          <c:tx>
            <c:strRef>
              <c:f>'04_DuPont'!$A$14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'04_DuPont'!$B$12:$F$12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'04_DuPont'!$B$14:$F$14</c:f>
              <c:numCache>
                <c:formatCode>0.00</c:formatCode>
                <c:ptCount val="5"/>
                <c:pt idx="0">
                  <c:v>3.5512047781103502</c:v>
                </c:pt>
                <c:pt idx="1">
                  <c:v>3.0045643633002084</c:v>
                </c:pt>
                <c:pt idx="2">
                  <c:v>2.8338002068608859</c:v>
                </c:pt>
                <c:pt idx="3">
                  <c:v>2.8303962405212006</c:v>
                </c:pt>
                <c:pt idx="4">
                  <c:v>2.7108022071307301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5-4E5A-A00D-8AE85A8301F2}"/>
            </c:ext>
          </c:extLst>
        </c:ser>
        <c:ser>
          <c:idx val="2"/>
          <c:order val="2"/>
          <c:tx>
            <c:strRef>
              <c:f>'04_DuPont'!$A$15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'04_DuPont'!$B$12:$F$12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'04_DuPont'!$B$15:$F$15</c:f>
              <c:numCache>
                <c:formatCode>0.00</c:formatCode>
                <c:ptCount val="5"/>
                <c:pt idx="0">
                  <c:v>3.6167946139004066</c:v>
                </c:pt>
                <c:pt idx="1">
                  <c:v>3.162784307568077</c:v>
                </c:pt>
                <c:pt idx="2">
                  <c:v>3.161137790134378</c:v>
                </c:pt>
                <c:pt idx="3">
                  <c:v>3.2171086407327771</c:v>
                </c:pt>
                <c:pt idx="4">
                  <c:v>3.1738700050232942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05-4E5A-A00D-8AE85A830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212335"/>
        <c:axId val="623218575"/>
      </c:lineChart>
      <c:catAx>
        <c:axId val="6232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18575"/>
        <c:crosses val="autoZero"/>
        <c:auto val="1"/>
        <c:lblAlgn val="ctr"/>
        <c:lblOffset val="100"/>
        <c:noMultiLvlLbl val="0"/>
      </c:catAx>
      <c:valAx>
        <c:axId val="62321857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Return on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'04_DuPont'!$A$18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'04_DuPont'!$B$17:$F$17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'04_DuPont'!$B$18:$F$18</c:f>
              <c:numCache>
                <c:formatCode>0.0%</c:formatCode>
                <c:ptCount val="5"/>
                <c:pt idx="0">
                  <c:v>0.27439824028584714</c:v>
                </c:pt>
                <c:pt idx="1">
                  <c:v>0.329329065558575</c:v>
                </c:pt>
                <c:pt idx="2">
                  <c:v>0.23579390189578514</c:v>
                </c:pt>
                <c:pt idx="3">
                  <c:v>0.20936241999987551</c:v>
                </c:pt>
                <c:pt idx="4">
                  <c:v>0.23985123444957812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F3-4E3F-8AF3-2C1E06FC44FA}"/>
            </c:ext>
          </c:extLst>
        </c:ser>
        <c:ser>
          <c:idx val="1"/>
          <c:order val="1"/>
          <c:tx>
            <c:strRef>
              <c:f>'04_DuPont'!$A$19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'04_DuPont'!$B$17:$F$17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'04_DuPont'!$B$19:$F$19</c:f>
              <c:numCache>
                <c:formatCode>0.0%</c:formatCode>
                <c:ptCount val="5"/>
                <c:pt idx="0">
                  <c:v>0.30457793341497208</c:v>
                </c:pt>
                <c:pt idx="1">
                  <c:v>0.17118374924924989</c:v>
                </c:pt>
                <c:pt idx="2">
                  <c:v>0.15745712370595399</c:v>
                </c:pt>
                <c:pt idx="3">
                  <c:v>0.11159018569929542</c:v>
                </c:pt>
                <c:pt idx="4">
                  <c:v>5.5531039149601218E-2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F3-4E3F-8AF3-2C1E06FC44FA}"/>
            </c:ext>
          </c:extLst>
        </c:ser>
        <c:ser>
          <c:idx val="2"/>
          <c:order val="2"/>
          <c:tx>
            <c:strRef>
              <c:f>'04_DuPont'!$A$20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'04_DuPont'!$B$17:$F$17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'04_DuPont'!$B$20:$F$20</c:f>
              <c:numCache>
                <c:formatCode>0.0%</c:formatCode>
                <c:ptCount val="5"/>
                <c:pt idx="0">
                  <c:v>0.10879407112571635</c:v>
                </c:pt>
                <c:pt idx="1">
                  <c:v>9.1784317746090208E-2</c:v>
                </c:pt>
                <c:pt idx="2">
                  <c:v>9.7346725002218623E-2</c:v>
                </c:pt>
                <c:pt idx="3">
                  <c:v>6.4668620218209669E-2</c:v>
                </c:pt>
                <c:pt idx="4">
                  <c:v>3.4313531821091814E-2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F3-4E3F-8AF3-2C1E06FC4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169615"/>
        <c:axId val="623164815"/>
      </c:lineChart>
      <c:catAx>
        <c:axId val="62316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4815"/>
        <c:crosses val="autoZero"/>
        <c:auto val="1"/>
        <c:lblAlgn val="ctr"/>
        <c:lblOffset val="100"/>
        <c:noMultiLvlLbl val="0"/>
      </c:catAx>
      <c:valAx>
        <c:axId val="62316481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'05_Result'!$J$2</c:f>
          <c:strCache>
            <c:ptCount val="1"/>
            <c:pt idx="0">
              <c:v>Gross Profit %</c:v>
            </c:pt>
          </c:strCache>
        </c:strRef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'05_Result'!$I$5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'05_Result'!$J$4:$N$4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'05_Result'!$J$5:$N$5</c:f>
              <c:numCache>
                <c:formatCode>0.0%</c:formatCode>
                <c:ptCount val="5"/>
                <c:pt idx="0">
                  <c:v>0.18348281860696292</c:v>
                </c:pt>
                <c:pt idx="1">
                  <c:v>0.17361118139403078</c:v>
                </c:pt>
                <c:pt idx="2">
                  <c:v>0.15767469455105029</c:v>
                </c:pt>
                <c:pt idx="3">
                  <c:v>0.16239543473513299</c:v>
                </c:pt>
                <c:pt idx="4">
                  <c:v>0.15078184302413847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2-4644-8680-CE69C36D2997}"/>
            </c:ext>
          </c:extLst>
        </c:ser>
        <c:ser>
          <c:idx val="1"/>
          <c:order val="1"/>
          <c:tx>
            <c:strRef>
              <c:f>'05_Result'!$I$6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'05_Result'!$J$4:$N$4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'05_Result'!$J$6:$N$6</c:f>
              <c:numCache>
                <c:formatCode>0.0%</c:formatCode>
                <c:ptCount val="5"/>
                <c:pt idx="0">
                  <c:v>0.22910084918554369</c:v>
                </c:pt>
                <c:pt idx="1">
                  <c:v>0.22677429891278988</c:v>
                </c:pt>
                <c:pt idx="2">
                  <c:v>0.22437964207860694</c:v>
                </c:pt>
                <c:pt idx="3">
                  <c:v>0.19627182438836765</c:v>
                </c:pt>
                <c:pt idx="4">
                  <c:v>0.16891554600874339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2-4644-8680-CE69C36D2997}"/>
            </c:ext>
          </c:extLst>
        </c:ser>
        <c:ser>
          <c:idx val="2"/>
          <c:order val="2"/>
          <c:tx>
            <c:strRef>
              <c:f>'05_Result'!$I$7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'05_Result'!$J$4:$N$4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'05_Result'!$J$7:$N$7</c:f>
              <c:numCache>
                <c:formatCode>0.0%</c:formatCode>
                <c:ptCount val="5"/>
                <c:pt idx="0">
                  <c:v>0.18881294964028777</c:v>
                </c:pt>
                <c:pt idx="1">
                  <c:v>0.18700591291883176</c:v>
                </c:pt>
                <c:pt idx="2">
                  <c:v>0.18934231919673331</c:v>
                </c:pt>
                <c:pt idx="3">
                  <c:v>0.18318466315115076</c:v>
                </c:pt>
                <c:pt idx="4">
                  <c:v>0.15918276055953007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22-4644-8680-CE69C36D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397407"/>
        <c:axId val="922397887"/>
      </c:lineChart>
      <c:catAx>
        <c:axId val="92239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2397887"/>
        <c:crosses val="autoZero"/>
        <c:auto val="1"/>
        <c:lblAlgn val="ctr"/>
        <c:lblOffset val="100"/>
        <c:noMultiLvlLbl val="0"/>
      </c:catAx>
      <c:valAx>
        <c:axId val="92239788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239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'06_Growth'!$J$2</c:f>
          <c:strCache>
            <c:ptCount val="1"/>
            <c:pt idx="0">
              <c:v>Revenue Growth</c:v>
            </c:pt>
          </c:strCache>
        </c:strRef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'06_Growth'!$I$5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'06_Growth'!$J$4:$N$4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'06_Growth'!$J$5:$N$5</c:f>
              <c:numCache>
                <c:formatCode>0%</c:formatCode>
                <c:ptCount val="5"/>
                <c:pt idx="0">
                  <c:v>0.17971748400852872</c:v>
                </c:pt>
                <c:pt idx="1">
                  <c:v>0.11613537265887985</c:v>
                </c:pt>
                <c:pt idx="2">
                  <c:v>9.1764753509366637E-2</c:v>
                </c:pt>
                <c:pt idx="3">
                  <c:v>-2.3703580102712452E-2</c:v>
                </c:pt>
                <c:pt idx="4">
                  <c:v>-6.1832372741342789E-2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5-4EBC-86DD-4938C5ADA5E9}"/>
            </c:ext>
          </c:extLst>
        </c:ser>
        <c:ser>
          <c:idx val="1"/>
          <c:order val="1"/>
          <c:tx>
            <c:strRef>
              <c:f>'06_Growth'!$I$6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'06_Growth'!$J$4:$N$4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'06_Growth'!$J$6:$N$6</c:f>
              <c:numCache>
                <c:formatCode>0%</c:formatCode>
                <c:ptCount val="5"/>
                <c:pt idx="0">
                  <c:v>9.9484307510387726E-2</c:v>
                </c:pt>
                <c:pt idx="1">
                  <c:v>0.12042451808533672</c:v>
                </c:pt>
                <c:pt idx="2">
                  <c:v>2.1337581740735967E-2</c:v>
                </c:pt>
                <c:pt idx="3">
                  <c:v>-4.9759166677544431E-2</c:v>
                </c:pt>
                <c:pt idx="4">
                  <c:v>-9.1899391458439172E-2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5-4EBC-86DD-4938C5ADA5E9}"/>
            </c:ext>
          </c:extLst>
        </c:ser>
        <c:ser>
          <c:idx val="2"/>
          <c:order val="2"/>
          <c:tx>
            <c:strRef>
              <c:f>'06_Growth'!$I$7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'06_Growth'!$J$4:$N$4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'06_Growth'!$J$7:$N$7</c:f>
              <c:numCache>
                <c:formatCode>0%</c:formatCode>
                <c:ptCount val="5"/>
                <c:pt idx="0">
                  <c:v>0.1225570251790169</c:v>
                </c:pt>
                <c:pt idx="1">
                  <c:v>0.11530775379696245</c:v>
                </c:pt>
                <c:pt idx="2">
                  <c:v>0.1549328077405483</c:v>
                </c:pt>
                <c:pt idx="3">
                  <c:v>7.3599682267813105E-3</c:v>
                </c:pt>
                <c:pt idx="4">
                  <c:v>-8.4489428810803346E-3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F5-4EBC-86DD-4938C5ADA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81679"/>
        <c:axId val="214180719"/>
      </c:lineChart>
      <c:catAx>
        <c:axId val="21418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180719"/>
        <c:crosses val="autoZero"/>
        <c:auto val="1"/>
        <c:lblAlgn val="ctr"/>
        <c:lblOffset val="100"/>
        <c:noMultiLvlLbl val="0"/>
      </c:catAx>
      <c:valAx>
        <c:axId val="21418071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18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'07_Summary'!$J$2</c:f>
          <c:strCache>
            <c:ptCount val="1"/>
            <c:pt idx="0">
              <c:v>Gross Profit %</c:v>
            </c:pt>
          </c:strCache>
        </c:strRef>
      </c:tx>
      <c:layout>
        <c:manualLayout>
          <c:xMode val="edge"/>
          <c:yMode val="edge"/>
          <c:x val="0.34134711286089237"/>
          <c:y val="3.2407407407407406E-2"/>
        </c:manualLayout>
      </c:layout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'07_Summary'!$I$5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'07_Summary'!$J$4:$N$4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'07_Summary'!$J$5:$N$5</c:f>
              <c:numCache>
                <c:formatCode>0.0%</c:formatCode>
                <c:ptCount val="5"/>
                <c:pt idx="0">
                  <c:v>0.18348281860696292</c:v>
                </c:pt>
                <c:pt idx="1">
                  <c:v>0.17361118139403078</c:v>
                </c:pt>
                <c:pt idx="2">
                  <c:v>0.15767469455105029</c:v>
                </c:pt>
                <c:pt idx="3">
                  <c:v>0.16239543473513299</c:v>
                </c:pt>
                <c:pt idx="4">
                  <c:v>0.15078184302413847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7-4B00-A79E-9D6AEDC932AB}"/>
            </c:ext>
          </c:extLst>
        </c:ser>
        <c:ser>
          <c:idx val="1"/>
          <c:order val="1"/>
          <c:tx>
            <c:strRef>
              <c:f>'07_Summary'!$I$6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'07_Summary'!$J$4:$N$4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'07_Summary'!$J$6:$N$6</c:f>
              <c:numCache>
                <c:formatCode>0.0%</c:formatCode>
                <c:ptCount val="5"/>
                <c:pt idx="0">
                  <c:v>0.22910084918554369</c:v>
                </c:pt>
                <c:pt idx="1">
                  <c:v>0.22677429891278988</c:v>
                </c:pt>
                <c:pt idx="2">
                  <c:v>0.22437964207860694</c:v>
                </c:pt>
                <c:pt idx="3">
                  <c:v>0.19627182438836765</c:v>
                </c:pt>
                <c:pt idx="4">
                  <c:v>0.16891554600874339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7-4B00-A79E-9D6AEDC932AB}"/>
            </c:ext>
          </c:extLst>
        </c:ser>
        <c:ser>
          <c:idx val="2"/>
          <c:order val="2"/>
          <c:tx>
            <c:strRef>
              <c:f>'07_Summary'!$I$7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'07_Summary'!$J$4:$N$4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'07_Summary'!$J$7:$N$7</c:f>
              <c:numCache>
                <c:formatCode>0.0%</c:formatCode>
                <c:ptCount val="5"/>
                <c:pt idx="0">
                  <c:v>0.18881294964028777</c:v>
                </c:pt>
                <c:pt idx="1">
                  <c:v>0.18700591291883176</c:v>
                </c:pt>
                <c:pt idx="2">
                  <c:v>0.18934231919673331</c:v>
                </c:pt>
                <c:pt idx="3">
                  <c:v>0.18318466315115076</c:v>
                </c:pt>
                <c:pt idx="4">
                  <c:v>0.15918276055953007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07-4B00-A79E-9D6AEDC9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721536"/>
        <c:axId val="310722016"/>
      </c:lineChart>
      <c:catAx>
        <c:axId val="31072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10722016"/>
        <c:crosses val="autoZero"/>
        <c:auto val="1"/>
        <c:lblAlgn val="ctr"/>
        <c:lblOffset val="100"/>
        <c:noMultiLvlLbl val="0"/>
      </c:catAx>
      <c:valAx>
        <c:axId val="31072201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1072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'07_Summary'!$J$31</c:f>
          <c:strCache>
            <c:ptCount val="1"/>
            <c:pt idx="0">
              <c:v>Total Assets Growth</c:v>
            </c:pt>
          </c:strCache>
        </c:strRef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'07_Summary'!$I$34</c:f>
              <c:strCache>
                <c:ptCount val="1"/>
                <c:pt idx="0">
                  <c:v>BMW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'07_Summary'!$J$33:$N$33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'07_Summary'!$J$34:$N$34</c:f>
              <c:numCache>
                <c:formatCode>0%</c:formatCode>
                <c:ptCount val="5"/>
                <c:pt idx="0">
                  <c:v>0.12257113115891749</c:v>
                </c:pt>
                <c:pt idx="1">
                  <c:v>0.1164979522448033</c:v>
                </c:pt>
                <c:pt idx="2">
                  <c:v>-6.1168556123084583E-2</c:v>
                </c:pt>
                <c:pt idx="3">
                  <c:v>-1.8489030431705578E-2</c:v>
                </c:pt>
                <c:pt idx="4">
                  <c:v>4.7438786240048048E-2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0-4331-839D-F4A0F622096A}"/>
            </c:ext>
          </c:extLst>
        </c:ser>
        <c:ser>
          <c:idx val="1"/>
          <c:order val="1"/>
          <c:tx>
            <c:strRef>
              <c:f>'07_Summary'!$I$35</c:f>
              <c:strCache>
                <c:ptCount val="1"/>
                <c:pt idx="0">
                  <c:v>Mercedes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'07_Summary'!$J$33:$N$33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'07_Summary'!$J$35:$N$35</c:f>
              <c:numCache>
                <c:formatCode>0%</c:formatCode>
                <c:ptCount val="5"/>
                <c:pt idx="0">
                  <c:v>-9.0663792228517837E-2</c:v>
                </c:pt>
                <c:pt idx="1">
                  <c:v>7.0815260688683601E-4</c:v>
                </c:pt>
                <c:pt idx="2">
                  <c:v>1.1564717420148751E-2</c:v>
                </c:pt>
                <c:pt idx="3">
                  <c:v>7.558303107724873E-3</c:v>
                </c:pt>
                <c:pt idx="4">
                  <c:v>-3.6013735330742258E-2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0-4331-839D-F4A0F622096A}"/>
            </c:ext>
          </c:extLst>
        </c:ser>
        <c:ser>
          <c:idx val="2"/>
          <c:order val="2"/>
          <c:tx>
            <c:strRef>
              <c:f>'07_Summary'!$I$36</c:f>
              <c:strCache>
                <c:ptCount val="1"/>
                <c:pt idx="0">
                  <c:v>Volkswagen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'07_Summary'!$J$33:$N$33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'07_Summary'!$J$36:$N$36</c:f>
              <c:numCache>
                <c:formatCode>0%</c:formatCode>
                <c:ptCount val="5"/>
                <c:pt idx="0">
                  <c:v>6.3355689037122298E-2</c:v>
                </c:pt>
                <c:pt idx="1">
                  <c:v>6.697577982970393E-2</c:v>
                </c:pt>
                <c:pt idx="2">
                  <c:v>6.4404543866896757E-2</c:v>
                </c:pt>
                <c:pt idx="3">
                  <c:v>5.4247773754118489E-2</c:v>
                </c:pt>
                <c:pt idx="4">
                  <c:v>1.8268144508259532E-2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D0-4331-839D-F4A0F6220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184576"/>
        <c:axId val="302186016"/>
      </c:lineChart>
      <c:catAx>
        <c:axId val="3021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2186016"/>
        <c:crosses val="autoZero"/>
        <c:auto val="1"/>
        <c:lblAlgn val="ctr"/>
        <c:lblOffset val="100"/>
        <c:noMultiLvlLbl val="0"/>
      </c:catAx>
      <c:valAx>
        <c:axId val="30218601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021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518584</xdr:colOff>
      <xdr:row>1</xdr:row>
      <xdr:rowOff>126999</xdr:rowOff>
    </xdr:from>
    <xdr:to>
      <xdr:col>13</xdr:col>
      <xdr:colOff>402167</xdr:colOff>
      <xdr:row>16</xdr:row>
      <xdr:rowOff>116417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24A05-A96D-B752-4C1D-F5E206D3F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486834</xdr:colOff>
      <xdr:row>18</xdr:row>
      <xdr:rowOff>67733</xdr:rowOff>
    </xdr:from>
    <xdr:to>
      <xdr:col>13</xdr:col>
      <xdr:colOff>381000</xdr:colOff>
      <xdr:row>33</xdr:row>
      <xdr:rowOff>137584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B5B48F-A8A6-6769-9C2F-0EF118674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470956</xdr:colOff>
      <xdr:row>35</xdr:row>
      <xdr:rowOff>31749</xdr:rowOff>
    </xdr:from>
    <xdr:to>
      <xdr:col>13</xdr:col>
      <xdr:colOff>275165</xdr:colOff>
      <xdr:row>51</xdr:row>
      <xdr:rowOff>10582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6CAB22-7F80-02B3-51BB-212AE785D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100540</xdr:colOff>
      <xdr:row>1</xdr:row>
      <xdr:rowOff>137583</xdr:rowOff>
    </xdr:from>
    <xdr:to>
      <xdr:col>20</xdr:col>
      <xdr:colOff>550333</xdr:colOff>
      <xdr:row>16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AB9424-210B-1BFD-D6CF-1F769647A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111124</xdr:colOff>
      <xdr:row>18</xdr:row>
      <xdr:rowOff>63501</xdr:rowOff>
    </xdr:from>
    <xdr:to>
      <xdr:col>20</xdr:col>
      <xdr:colOff>560917</xdr:colOff>
      <xdr:row>33</xdr:row>
      <xdr:rowOff>137583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A5BB20-D5F6-F670-3526-FB9377388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89958</xdr:colOff>
      <xdr:row>34</xdr:row>
      <xdr:rowOff>148166</xdr:rowOff>
    </xdr:from>
    <xdr:to>
      <xdr:col>20</xdr:col>
      <xdr:colOff>582083</xdr:colOff>
      <xdr:row>51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C4BE2C-CAB2-33F3-1E44-9691C12C9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</xdr:row>
      <xdr:rowOff>4762</xdr:rowOff>
    </xdr:from>
    <xdr:to>
      <xdr:col>11</xdr:col>
      <xdr:colOff>495300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189F2-835B-567C-A898-8F84524D3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561976</xdr:colOff>
      <xdr:row>13</xdr:row>
      <xdr:rowOff>66675</xdr:rowOff>
    </xdr:from>
    <xdr:to>
      <xdr:col>11</xdr:col>
      <xdr:colOff>533400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30C5E5-667B-7A28-5A5D-E85530B30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66674</xdr:colOff>
      <xdr:row>0</xdr:row>
      <xdr:rowOff>152399</xdr:rowOff>
    </xdr:from>
    <xdr:to>
      <xdr:col>17</xdr:col>
      <xdr:colOff>76200</xdr:colOff>
      <xdr:row>11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D2C1FA-76EC-637D-34CB-CB8D10C04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66675</xdr:colOff>
      <xdr:row>13</xdr:row>
      <xdr:rowOff>76199</xdr:rowOff>
    </xdr:from>
    <xdr:to>
      <xdr:col>17</xdr:col>
      <xdr:colOff>114300</xdr:colOff>
      <xdr:row>24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CCF49D-B812-BC3D-A083-A9D633BEE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9</xdr:row>
      <xdr:rowOff>90486</xdr:rowOff>
    </xdr:from>
    <xdr:to>
      <xdr:col>14</xdr:col>
      <xdr:colOff>390525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89899-36B4-7F35-5712-D41BA0649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11</xdr:row>
      <xdr:rowOff>14287</xdr:rowOff>
    </xdr:from>
    <xdr:to>
      <xdr:col>14</xdr:col>
      <xdr:colOff>295275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16BA2-E07B-36D6-CC2A-9EB0EC628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581025</xdr:colOff>
      <xdr:row>1</xdr:row>
      <xdr:rowOff>90487</xdr:rowOff>
    </xdr:from>
    <xdr:to>
      <xdr:col>22</xdr:col>
      <xdr:colOff>276225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E8F15-40C8-7444-57E7-C17639DEE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71437</xdr:rowOff>
    </xdr:from>
    <xdr:to>
      <xdr:col>22</xdr:col>
      <xdr:colOff>304800</xdr:colOff>
      <xdr:row>39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C2A7F2-D4CA-AE8E-AB95-CA0071260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rktansuker1998@gmail.com" TargetMode="External"/><Relationship Id="rId2" Type="http://schemas.openxmlformats.org/officeDocument/2006/relationships/hyperlink" Target="https://www.linkedin.com/in/berk-t-958b23168/" TargetMode="External"/><Relationship Id="rId1" Type="http://schemas.openxmlformats.org/officeDocument/2006/relationships/hyperlink" Target="https://github.com/Btansuker9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1E8A-634F-4C14-A597-719B40A06F36}">
  <sheetPr>
    <tabColor rgb="FF002060"/>
  </sheetPr>
  <dimension ref="A2:D22"/>
  <sheetViews>
    <sheetView workbookViewId="0">
      <selection activeCell="D22" sqref="D22"/>
    </sheetView>
  </sheetViews>
  <sheetFormatPr defaultRowHeight="12.75" x14ac:dyDescent="0.2"/>
  <cols>
    <col min="1" max="3" width="9.140625" style="1"/>
    <col min="4" max="4" width="128.140625" style="1" bestFit="1" customWidth="1"/>
    <col min="5" max="16384" width="9.140625" style="1"/>
  </cols>
  <sheetData>
    <row r="2" spans="1:4" ht="63" x14ac:dyDescent="0.85">
      <c r="D2" s="45" t="s">
        <v>209</v>
      </c>
    </row>
    <row r="5" spans="1:4" ht="19.5" x14ac:dyDescent="0.3">
      <c r="A5" s="46" t="s">
        <v>218</v>
      </c>
    </row>
    <row r="7" spans="1:4" ht="19.5" x14ac:dyDescent="0.3">
      <c r="A7" s="46" t="s">
        <v>219</v>
      </c>
    </row>
    <row r="9" spans="1:4" ht="19.5" x14ac:dyDescent="0.3">
      <c r="A9" s="46" t="s">
        <v>210</v>
      </c>
    </row>
    <row r="11" spans="1:4" ht="19.5" x14ac:dyDescent="0.3">
      <c r="A11" s="46" t="s">
        <v>211</v>
      </c>
    </row>
    <row r="13" spans="1:4" ht="19.5" x14ac:dyDescent="0.3">
      <c r="A13" s="46" t="s">
        <v>220</v>
      </c>
    </row>
    <row r="15" spans="1:4" ht="19.5" x14ac:dyDescent="0.3">
      <c r="A15" s="47" t="s">
        <v>212</v>
      </c>
    </row>
    <row r="16" spans="1:4" ht="18.75" x14ac:dyDescent="0.25">
      <c r="A16" s="48"/>
    </row>
    <row r="17" spans="1:1" ht="19.5" x14ac:dyDescent="0.3">
      <c r="A17" s="46" t="s">
        <v>213</v>
      </c>
    </row>
    <row r="18" spans="1:1" ht="19.5" x14ac:dyDescent="0.3">
      <c r="A18" s="46" t="s">
        <v>214</v>
      </c>
    </row>
    <row r="20" spans="1:1" ht="19.5" x14ac:dyDescent="0.3">
      <c r="A20" s="49" t="s">
        <v>215</v>
      </c>
    </row>
    <row r="21" spans="1:1" ht="19.5" x14ac:dyDescent="0.3">
      <c r="A21" s="49" t="s">
        <v>216</v>
      </c>
    </row>
    <row r="22" spans="1:1" ht="19.5" x14ac:dyDescent="0.3">
      <c r="A22" s="49" t="s">
        <v>217</v>
      </c>
    </row>
  </sheetData>
  <sheetProtection algorithmName="SHA-512" hashValue="KzFojlgyM3w5x429LJZ7QMYjiqos/b8Spd/445qkEmGgOoWiXkf3UXjgvTKMKVC4iIovYs7lWpR06ScLnVDu/Q==" saltValue="elMtEu1ALc8dWNDhW6kOxQ==" spinCount="100000" sheet="1" objects="1" scenarios="1"/>
  <hyperlinks>
    <hyperlink ref="A20" r:id="rId1" xr:uid="{051D485D-BE22-4999-B6D8-E4DF64427108}"/>
    <hyperlink ref="A21" r:id="rId2" xr:uid="{C09E4A75-6A7F-43CE-A0EF-B284BEEB4C93}"/>
    <hyperlink ref="A22" r:id="rId3" xr:uid="{12B990A3-E3CD-4B0B-9C9C-1FF33CAE27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CF1B-FC52-4B56-ADFE-49EE72841B4C}">
  <sheetPr>
    <tabColor theme="0" tint="-0.249977111117893"/>
  </sheetPr>
  <dimension ref="A2:G53"/>
  <sheetViews>
    <sheetView workbookViewId="0">
      <selection activeCell="D24" sqref="D24"/>
    </sheetView>
  </sheetViews>
  <sheetFormatPr defaultRowHeight="12.75" outlineLevelRow="1" x14ac:dyDescent="0.2"/>
  <cols>
    <col min="1" max="1" width="47" style="1" bestFit="1" customWidth="1"/>
    <col min="2" max="2" width="11.85546875" style="1" bestFit="1" customWidth="1"/>
    <col min="3" max="4" width="12.85546875" style="1" bestFit="1" customWidth="1"/>
    <col min="5" max="7" width="11.85546875" style="1" bestFit="1" customWidth="1"/>
    <col min="8" max="16384" width="9.140625" style="1"/>
  </cols>
  <sheetData>
    <row r="2" spans="1:7" outlineLevel="1" x14ac:dyDescent="0.2">
      <c r="A2" s="2" t="s">
        <v>0</v>
      </c>
      <c r="B2" s="2">
        <v>2025</v>
      </c>
      <c r="C2" s="2">
        <v>2024</v>
      </c>
      <c r="D2" s="2">
        <v>2023</v>
      </c>
      <c r="E2" s="2">
        <v>2022</v>
      </c>
      <c r="F2" s="2">
        <v>2021</v>
      </c>
      <c r="G2" s="2">
        <v>2020</v>
      </c>
    </row>
    <row r="3" spans="1:7" outlineLevel="1" x14ac:dyDescent="0.2">
      <c r="A3" s="1" t="s">
        <v>126</v>
      </c>
      <c r="B3" s="3">
        <v>98805</v>
      </c>
      <c r="C3" s="3">
        <v>105317</v>
      </c>
      <c r="D3" s="3">
        <v>107874</v>
      </c>
      <c r="E3" s="3">
        <v>98807</v>
      </c>
      <c r="F3" s="3">
        <v>88526</v>
      </c>
      <c r="G3" s="3">
        <v>75040</v>
      </c>
    </row>
    <row r="4" spans="1:7" outlineLevel="1" x14ac:dyDescent="0.2">
      <c r="A4" s="1" t="s">
        <v>2</v>
      </c>
      <c r="B4" s="3">
        <v>-83907</v>
      </c>
      <c r="C4" s="3">
        <v>-88214</v>
      </c>
      <c r="D4" s="3">
        <v>-90865</v>
      </c>
      <c r="E4" s="3">
        <v>-81653</v>
      </c>
      <c r="F4" s="3">
        <v>-72283</v>
      </c>
      <c r="G4" s="3">
        <v>-63726</v>
      </c>
    </row>
    <row r="5" spans="1:7" outlineLevel="1" x14ac:dyDescent="0.2">
      <c r="A5" s="2" t="s">
        <v>3</v>
      </c>
      <c r="B5" s="4">
        <v>14898</v>
      </c>
      <c r="C5" s="4">
        <v>17103</v>
      </c>
      <c r="D5" s="4">
        <v>17009</v>
      </c>
      <c r="E5" s="4">
        <v>17154</v>
      </c>
      <c r="F5" s="4">
        <v>16243</v>
      </c>
      <c r="G5" s="4">
        <v>11314</v>
      </c>
    </row>
    <row r="6" spans="1:7" outlineLevel="1" x14ac:dyDescent="0.2">
      <c r="A6" s="1" t="s">
        <v>4</v>
      </c>
      <c r="B6" s="3">
        <v>-4119</v>
      </c>
      <c r="C6" s="3">
        <v>-4261</v>
      </c>
      <c r="D6" s="3">
        <v>-4123</v>
      </c>
      <c r="E6" s="3">
        <v>-4058</v>
      </c>
      <c r="F6" s="3">
        <v>-3858</v>
      </c>
      <c r="G6" s="3">
        <v>-4030</v>
      </c>
    </row>
    <row r="7" spans="1:7" outlineLevel="1" x14ac:dyDescent="0.2">
      <c r="A7" s="1" t="s">
        <v>94</v>
      </c>
      <c r="B7" s="3">
        <v>-3864</v>
      </c>
      <c r="C7" s="3">
        <v>-4068</v>
      </c>
      <c r="D7" s="3">
        <v>-3824</v>
      </c>
      <c r="E7" s="3">
        <v>-3624</v>
      </c>
      <c r="F7" s="3">
        <v>-3243</v>
      </c>
      <c r="G7" s="3">
        <v>-2747</v>
      </c>
    </row>
    <row r="8" spans="1:7" outlineLevel="1" x14ac:dyDescent="0.2">
      <c r="A8" s="1" t="s">
        <v>127</v>
      </c>
      <c r="B8" s="3">
        <v>-7775</v>
      </c>
      <c r="C8" s="3">
        <v>-8315</v>
      </c>
      <c r="D8" s="3">
        <v>-6924</v>
      </c>
      <c r="E8" s="3">
        <v>-6782</v>
      </c>
      <c r="F8" s="3">
        <v>-6451</v>
      </c>
      <c r="G8" s="3">
        <v>-5394</v>
      </c>
    </row>
    <row r="9" spans="1:7" outlineLevel="1" x14ac:dyDescent="0.2">
      <c r="A9" s="1" t="s">
        <v>7</v>
      </c>
      <c r="B9" s="3">
        <v>2849</v>
      </c>
      <c r="C9" s="3">
        <v>2062</v>
      </c>
      <c r="D9" s="3">
        <v>1872</v>
      </c>
      <c r="E9" s="3">
        <v>2529</v>
      </c>
      <c r="F9" s="3">
        <v>2199</v>
      </c>
      <c r="G9" s="3">
        <v>1237</v>
      </c>
    </row>
    <row r="10" spans="1:7" outlineLevel="1" x14ac:dyDescent="0.2">
      <c r="A10" s="1" t="s">
        <v>8</v>
      </c>
      <c r="B10" s="3">
        <v>-2262</v>
      </c>
      <c r="C10" s="3">
        <v>-1953</v>
      </c>
      <c r="D10" s="3">
        <v>-2067</v>
      </c>
      <c r="E10" s="3">
        <v>-2889</v>
      </c>
      <c r="F10" s="3">
        <v>-1460</v>
      </c>
      <c r="G10" s="3">
        <v>-1250</v>
      </c>
    </row>
    <row r="11" spans="1:7" outlineLevel="1" x14ac:dyDescent="0.2">
      <c r="A11" s="1" t="s">
        <v>128</v>
      </c>
      <c r="B11" s="3">
        <v>5503</v>
      </c>
      <c r="C11" s="3">
        <v>3917</v>
      </c>
      <c r="D11" s="3">
        <v>3592</v>
      </c>
      <c r="E11" s="3">
        <v>8520</v>
      </c>
      <c r="F11" s="3">
        <v>2991</v>
      </c>
      <c r="G11" s="3">
        <v>3084</v>
      </c>
    </row>
    <row r="12" spans="1:7" outlineLevel="1" x14ac:dyDescent="0.2">
      <c r="A12" s="1" t="s">
        <v>100</v>
      </c>
      <c r="B12" s="3">
        <v>-1001</v>
      </c>
      <c r="C12" s="3">
        <v>-378</v>
      </c>
      <c r="D12" s="3">
        <v>-84</v>
      </c>
      <c r="E12" s="3">
        <v>-2926</v>
      </c>
      <c r="F12" s="3">
        <v>-426</v>
      </c>
      <c r="G12" s="3">
        <v>-280</v>
      </c>
    </row>
    <row r="13" spans="1:7" outlineLevel="1" x14ac:dyDescent="0.2">
      <c r="A13" s="1" t="s">
        <v>14</v>
      </c>
      <c r="B13" s="3">
        <v>-285</v>
      </c>
      <c r="C13" s="3">
        <v>-566</v>
      </c>
      <c r="D13" s="3">
        <v>-1067</v>
      </c>
      <c r="E13" s="3">
        <v>-1594</v>
      </c>
      <c r="F13" s="3">
        <v>-1068</v>
      </c>
      <c r="G13" s="3">
        <v>-214</v>
      </c>
    </row>
    <row r="14" spans="1:7" outlineLevel="1" x14ac:dyDescent="0.2">
      <c r="A14" s="2" t="s">
        <v>129</v>
      </c>
      <c r="B14" s="4">
        <v>3944</v>
      </c>
      <c r="C14" s="4">
        <v>3541</v>
      </c>
      <c r="D14" s="4">
        <v>4384</v>
      </c>
      <c r="E14" s="4">
        <v>6330</v>
      </c>
      <c r="F14" s="4">
        <v>4927</v>
      </c>
      <c r="G14" s="4">
        <v>1720</v>
      </c>
    </row>
    <row r="15" spans="1:7" outlineLevel="1" x14ac:dyDescent="0.2">
      <c r="A15" s="1" t="s">
        <v>130</v>
      </c>
      <c r="B15" s="3">
        <v>-17</v>
      </c>
      <c r="C15" s="3">
        <v>-17</v>
      </c>
      <c r="D15" s="3">
        <v>-18</v>
      </c>
      <c r="E15" s="3">
        <v>-19</v>
      </c>
      <c r="F15" s="3">
        <v>-17</v>
      </c>
      <c r="G15" s="3">
        <v>-18</v>
      </c>
    </row>
    <row r="16" spans="1:7" outlineLevel="1" x14ac:dyDescent="0.2">
      <c r="A16" s="2" t="s">
        <v>15</v>
      </c>
      <c r="B16" s="4">
        <v>3927</v>
      </c>
      <c r="C16" s="4">
        <v>3524</v>
      </c>
      <c r="D16" s="4">
        <v>4366</v>
      </c>
      <c r="E16" s="4">
        <v>6311</v>
      </c>
      <c r="F16" s="4">
        <v>4910</v>
      </c>
      <c r="G16" s="4">
        <v>1702</v>
      </c>
    </row>
    <row r="18" spans="1:7" outlineLevel="1" x14ac:dyDescent="0.2">
      <c r="A18" s="2" t="s">
        <v>0</v>
      </c>
      <c r="B18" s="2">
        <v>2025</v>
      </c>
      <c r="C18" s="2">
        <v>2024</v>
      </c>
      <c r="D18" s="2">
        <v>2023</v>
      </c>
      <c r="E18" s="2">
        <v>2022</v>
      </c>
      <c r="F18" s="2">
        <v>2021</v>
      </c>
      <c r="G18" s="2">
        <v>2020</v>
      </c>
    </row>
    <row r="19" spans="1:7" outlineLevel="1" x14ac:dyDescent="0.2">
      <c r="A19" s="1" t="s">
        <v>106</v>
      </c>
      <c r="B19" s="3">
        <v>1224</v>
      </c>
      <c r="C19" s="3">
        <v>1606</v>
      </c>
      <c r="D19" s="3">
        <v>1823</v>
      </c>
      <c r="E19" s="3">
        <v>1444</v>
      </c>
      <c r="F19" s="3">
        <v>704</v>
      </c>
      <c r="G19" s="3">
        <v>488</v>
      </c>
    </row>
    <row r="20" spans="1:7" outlineLevel="1" x14ac:dyDescent="0.2">
      <c r="A20" s="1" t="s">
        <v>17</v>
      </c>
      <c r="B20" s="3">
        <v>17184</v>
      </c>
      <c r="C20" s="3">
        <v>16623</v>
      </c>
      <c r="D20" s="3">
        <v>15560</v>
      </c>
      <c r="E20" s="3">
        <v>14004</v>
      </c>
      <c r="F20" s="3">
        <v>12740</v>
      </c>
      <c r="G20" s="3">
        <v>12520</v>
      </c>
    </row>
    <row r="21" spans="1:7" outlineLevel="1" x14ac:dyDescent="0.2">
      <c r="A21" s="1" t="s">
        <v>132</v>
      </c>
      <c r="B21" s="3">
        <v>12001</v>
      </c>
      <c r="C21" s="3">
        <v>12020</v>
      </c>
      <c r="D21" s="3">
        <v>12077</v>
      </c>
      <c r="E21" s="3">
        <v>12093</v>
      </c>
      <c r="F21" s="3">
        <v>5067</v>
      </c>
      <c r="G21" s="3">
        <v>3826</v>
      </c>
    </row>
    <row r="22" spans="1:7" outlineLevel="1" x14ac:dyDescent="0.2">
      <c r="A22" s="2" t="s">
        <v>133</v>
      </c>
      <c r="B22" s="4">
        <v>30409</v>
      </c>
      <c r="C22" s="4">
        <v>30249</v>
      </c>
      <c r="D22" s="4">
        <v>29460</v>
      </c>
      <c r="E22" s="4">
        <v>27541</v>
      </c>
      <c r="F22" s="4">
        <v>18511</v>
      </c>
      <c r="G22" s="4">
        <v>16834</v>
      </c>
    </row>
    <row r="23" spans="1:7" outlineLevel="1" x14ac:dyDescent="0.2">
      <c r="A23" s="1" t="s">
        <v>21</v>
      </c>
      <c r="B23" s="3">
        <v>7296</v>
      </c>
      <c r="C23" s="3">
        <v>7766</v>
      </c>
      <c r="D23" s="3">
        <v>8505</v>
      </c>
      <c r="E23" s="3">
        <v>7523</v>
      </c>
      <c r="F23" s="3">
        <v>7287</v>
      </c>
      <c r="G23" s="3">
        <v>5748</v>
      </c>
    </row>
    <row r="24" spans="1:7" outlineLevel="1" x14ac:dyDescent="0.2">
      <c r="A24" s="1" t="s">
        <v>22</v>
      </c>
      <c r="B24" s="3">
        <v>1164</v>
      </c>
      <c r="C24" s="3">
        <v>1005</v>
      </c>
      <c r="D24" s="3">
        <v>1349</v>
      </c>
      <c r="E24" s="3">
        <v>1161</v>
      </c>
      <c r="F24" s="3">
        <v>758</v>
      </c>
      <c r="G24" s="3">
        <v>778</v>
      </c>
    </row>
    <row r="25" spans="1:7" outlineLevel="1" x14ac:dyDescent="0.2">
      <c r="A25" s="1" t="s">
        <v>134</v>
      </c>
      <c r="B25" s="3">
        <v>15650</v>
      </c>
      <c r="C25" s="3">
        <v>13546</v>
      </c>
      <c r="D25" s="3">
        <v>16398</v>
      </c>
      <c r="E25" s="3">
        <v>24510</v>
      </c>
      <c r="F25" s="3">
        <v>21019</v>
      </c>
      <c r="G25" s="3">
        <v>18939</v>
      </c>
    </row>
    <row r="26" spans="1:7" outlineLevel="1" x14ac:dyDescent="0.2">
      <c r="A26" s="1" t="s">
        <v>135</v>
      </c>
      <c r="B26" s="3">
        <v>5485</v>
      </c>
      <c r="C26" s="3">
        <v>3845</v>
      </c>
      <c r="D26" s="3">
        <v>3120</v>
      </c>
      <c r="E26" s="3">
        <v>2281</v>
      </c>
      <c r="F26" s="3">
        <v>4071</v>
      </c>
      <c r="G26" s="3">
        <v>3849</v>
      </c>
    </row>
    <row r="27" spans="1:7" outlineLevel="1" x14ac:dyDescent="0.2">
      <c r="A27" s="1" t="s">
        <v>136</v>
      </c>
      <c r="B27" s="3">
        <v>1189</v>
      </c>
      <c r="C27" s="3">
        <v>1912</v>
      </c>
      <c r="D27" s="3">
        <v>2705</v>
      </c>
      <c r="E27" s="3">
        <v>2904</v>
      </c>
      <c r="F27" s="3">
        <v>3077</v>
      </c>
      <c r="G27" s="3">
        <v>3336</v>
      </c>
    </row>
    <row r="28" spans="1:7" outlineLevel="1" x14ac:dyDescent="0.2">
      <c r="A28" s="1" t="s">
        <v>23</v>
      </c>
      <c r="B28" s="3">
        <v>8407</v>
      </c>
      <c r="C28" s="3">
        <v>8142</v>
      </c>
      <c r="D28" s="3">
        <v>6145</v>
      </c>
      <c r="E28" s="3">
        <v>6207</v>
      </c>
      <c r="F28" s="3">
        <v>8824</v>
      </c>
      <c r="G28" s="3">
        <v>6822</v>
      </c>
    </row>
    <row r="29" spans="1:7" outlineLevel="1" x14ac:dyDescent="0.2">
      <c r="A29" s="2" t="s">
        <v>137</v>
      </c>
      <c r="B29" s="4">
        <v>39191</v>
      </c>
      <c r="C29" s="4">
        <v>36216</v>
      </c>
      <c r="D29" s="4">
        <v>38222</v>
      </c>
      <c r="E29" s="4">
        <v>44586</v>
      </c>
      <c r="F29" s="4">
        <v>45036</v>
      </c>
      <c r="G29" s="4">
        <v>39472</v>
      </c>
    </row>
    <row r="30" spans="1:7" outlineLevel="1" x14ac:dyDescent="0.2">
      <c r="A30" s="1" t="s">
        <v>138</v>
      </c>
      <c r="B30" s="3">
        <v>128</v>
      </c>
      <c r="C30" s="3">
        <v>105</v>
      </c>
      <c r="D30" s="3">
        <v>142</v>
      </c>
      <c r="E30" s="3">
        <v>116</v>
      </c>
      <c r="F30" s="3">
        <v>72</v>
      </c>
      <c r="G30" s="3">
        <v>73</v>
      </c>
    </row>
    <row r="31" spans="1:7" outlineLevel="1" x14ac:dyDescent="0.2">
      <c r="A31" s="1" t="s">
        <v>139</v>
      </c>
      <c r="B31" s="3">
        <v>0</v>
      </c>
      <c r="C31" s="3">
        <v>0</v>
      </c>
      <c r="D31" s="3">
        <v>0</v>
      </c>
      <c r="E31" s="3">
        <v>0</v>
      </c>
      <c r="F31" s="3">
        <v>1086</v>
      </c>
      <c r="G31" s="3">
        <v>1261</v>
      </c>
    </row>
    <row r="32" spans="1:7" outlineLevel="1" x14ac:dyDescent="0.2">
      <c r="A32" s="2" t="s">
        <v>140</v>
      </c>
      <c r="B32" s="4">
        <v>69728</v>
      </c>
      <c r="C32" s="4">
        <v>66570</v>
      </c>
      <c r="D32" s="4">
        <v>67824</v>
      </c>
      <c r="E32" s="4">
        <v>72243</v>
      </c>
      <c r="F32" s="4">
        <v>64705</v>
      </c>
      <c r="G32" s="4">
        <v>57640</v>
      </c>
    </row>
    <row r="33" spans="1:7" outlineLevel="1" x14ac:dyDescent="0.2">
      <c r="A33" s="1" t="s">
        <v>118</v>
      </c>
      <c r="B33" s="3">
        <v>616</v>
      </c>
      <c r="C33" s="3">
        <v>639</v>
      </c>
      <c r="D33" s="3">
        <v>639</v>
      </c>
      <c r="E33" s="3">
        <v>663</v>
      </c>
      <c r="F33" s="3">
        <v>662</v>
      </c>
      <c r="G33" s="3">
        <v>660</v>
      </c>
    </row>
    <row r="34" spans="1:7" outlineLevel="1" x14ac:dyDescent="0.2">
      <c r="A34" s="1" t="s">
        <v>32</v>
      </c>
      <c r="B34" s="3">
        <v>-9</v>
      </c>
      <c r="C34" s="3">
        <v>-17</v>
      </c>
      <c r="D34" s="3">
        <v>-5</v>
      </c>
      <c r="E34" s="3">
        <v>-17</v>
      </c>
      <c r="F34" s="3">
        <v>0</v>
      </c>
      <c r="G34" s="3">
        <v>0</v>
      </c>
    </row>
    <row r="35" spans="1:7" outlineLevel="1" x14ac:dyDescent="0.2">
      <c r="A35" s="1" t="s">
        <v>29</v>
      </c>
      <c r="B35" s="3">
        <v>2473</v>
      </c>
      <c r="C35" s="3">
        <v>2450</v>
      </c>
      <c r="D35" s="3">
        <v>2450</v>
      </c>
      <c r="E35" s="3">
        <v>2426</v>
      </c>
      <c r="F35" s="3">
        <v>2342</v>
      </c>
      <c r="G35" s="3">
        <v>2239</v>
      </c>
    </row>
    <row r="36" spans="1:7" outlineLevel="1" x14ac:dyDescent="0.2">
      <c r="A36" s="1" t="s">
        <v>141</v>
      </c>
      <c r="B36" s="3">
        <v>11000</v>
      </c>
      <c r="C36" s="3">
        <v>10926</v>
      </c>
      <c r="D36" s="3">
        <v>11046</v>
      </c>
      <c r="E36" s="3">
        <v>11665</v>
      </c>
      <c r="F36" s="3">
        <v>12096</v>
      </c>
      <c r="G36" s="3">
        <v>11013</v>
      </c>
    </row>
    <row r="37" spans="1:7" outlineLevel="1" x14ac:dyDescent="0.2">
      <c r="A37" s="1" t="s">
        <v>131</v>
      </c>
      <c r="B37" s="3">
        <v>2672</v>
      </c>
      <c r="C37" s="3">
        <v>2677</v>
      </c>
      <c r="D37" s="3">
        <v>3802</v>
      </c>
      <c r="E37" s="3">
        <v>5481</v>
      </c>
      <c r="F37" s="3">
        <v>3827</v>
      </c>
      <c r="G37" s="3">
        <v>1253</v>
      </c>
    </row>
    <row r="38" spans="1:7" outlineLevel="1" x14ac:dyDescent="0.2">
      <c r="A38" s="2" t="s">
        <v>53</v>
      </c>
      <c r="B38" s="4">
        <v>16752</v>
      </c>
      <c r="C38" s="4">
        <v>16675</v>
      </c>
      <c r="D38" s="4">
        <v>17932</v>
      </c>
      <c r="E38" s="4">
        <v>20218</v>
      </c>
      <c r="F38" s="4">
        <v>18927</v>
      </c>
      <c r="G38" s="4">
        <v>15165</v>
      </c>
    </row>
    <row r="39" spans="1:7" outlineLevel="1" x14ac:dyDescent="0.2">
      <c r="A39" s="1" t="s">
        <v>142</v>
      </c>
      <c r="B39" s="3">
        <v>2153</v>
      </c>
      <c r="C39" s="3">
        <v>1848</v>
      </c>
      <c r="D39" s="3">
        <v>2231</v>
      </c>
      <c r="E39" s="3">
        <v>2871</v>
      </c>
      <c r="F39" s="3">
        <v>422</v>
      </c>
      <c r="G39" s="3">
        <v>229</v>
      </c>
    </row>
    <row r="40" spans="1:7" outlineLevel="1" x14ac:dyDescent="0.2">
      <c r="A40" s="1" t="s">
        <v>123</v>
      </c>
      <c r="B40" s="3">
        <v>9897</v>
      </c>
      <c r="C40" s="3">
        <v>10660</v>
      </c>
      <c r="D40" s="3">
        <v>11537</v>
      </c>
      <c r="E40" s="3">
        <v>11686</v>
      </c>
      <c r="F40" s="3">
        <v>9995</v>
      </c>
      <c r="G40" s="3">
        <v>10093</v>
      </c>
    </row>
    <row r="41" spans="1:7" outlineLevel="1" x14ac:dyDescent="0.2">
      <c r="A41" s="1" t="s">
        <v>54</v>
      </c>
      <c r="B41" s="4">
        <v>12050</v>
      </c>
      <c r="C41" s="4">
        <v>12508</v>
      </c>
      <c r="D41" s="4">
        <v>13768</v>
      </c>
      <c r="E41" s="4">
        <v>14557</v>
      </c>
      <c r="F41" s="4">
        <v>10417</v>
      </c>
      <c r="G41" s="4">
        <v>10322</v>
      </c>
    </row>
    <row r="42" spans="1:7" outlineLevel="1" x14ac:dyDescent="0.2">
      <c r="A42" s="1" t="s">
        <v>143</v>
      </c>
      <c r="B42" s="3">
        <v>0</v>
      </c>
      <c r="C42" s="3">
        <v>0</v>
      </c>
      <c r="D42" s="3">
        <v>35</v>
      </c>
      <c r="E42" s="3">
        <v>1</v>
      </c>
      <c r="F42" s="3">
        <v>1</v>
      </c>
      <c r="G42" s="3">
        <v>101</v>
      </c>
    </row>
    <row r="43" spans="1:7" outlineLevel="1" x14ac:dyDescent="0.2">
      <c r="A43" s="1" t="s">
        <v>42</v>
      </c>
      <c r="B43" s="3">
        <v>7097</v>
      </c>
      <c r="C43" s="3">
        <v>6892</v>
      </c>
      <c r="D43" s="3">
        <v>7552</v>
      </c>
      <c r="E43" s="3">
        <v>6786</v>
      </c>
      <c r="F43" s="3">
        <v>6531</v>
      </c>
      <c r="G43" s="3">
        <v>4785</v>
      </c>
    </row>
    <row r="44" spans="1:7" outlineLevel="1" x14ac:dyDescent="0.2">
      <c r="A44" s="1" t="s">
        <v>144</v>
      </c>
      <c r="B44" s="3">
        <v>28358</v>
      </c>
      <c r="C44" s="3">
        <v>23949</v>
      </c>
      <c r="D44" s="3">
        <v>22648</v>
      </c>
      <c r="E44" s="3">
        <v>25703</v>
      </c>
      <c r="F44" s="3">
        <v>24462</v>
      </c>
      <c r="G44" s="3">
        <v>23404</v>
      </c>
    </row>
    <row r="45" spans="1:7" outlineLevel="1" x14ac:dyDescent="0.2">
      <c r="A45" s="1" t="s">
        <v>145</v>
      </c>
      <c r="B45" s="3">
        <v>588</v>
      </c>
      <c r="C45" s="3">
        <v>1794</v>
      </c>
      <c r="D45" s="3">
        <v>1364</v>
      </c>
      <c r="E45" s="3">
        <v>902</v>
      </c>
      <c r="F45" s="3">
        <v>462</v>
      </c>
      <c r="G45" s="3">
        <v>221</v>
      </c>
    </row>
    <row r="46" spans="1:7" outlineLevel="1" x14ac:dyDescent="0.2">
      <c r="A46" s="2" t="s">
        <v>55</v>
      </c>
      <c r="B46" s="4">
        <v>36043</v>
      </c>
      <c r="C46" s="4">
        <v>32635</v>
      </c>
      <c r="D46" s="4">
        <v>31599</v>
      </c>
      <c r="E46" s="4">
        <v>33392</v>
      </c>
      <c r="F46" s="4">
        <v>31456</v>
      </c>
      <c r="G46" s="4">
        <v>28511</v>
      </c>
    </row>
    <row r="47" spans="1:7" outlineLevel="1" x14ac:dyDescent="0.2">
      <c r="A47" s="1" t="s">
        <v>52</v>
      </c>
      <c r="B47" s="3">
        <v>4861</v>
      </c>
      <c r="C47" s="3">
        <v>4729</v>
      </c>
      <c r="D47" s="3">
        <v>4501</v>
      </c>
      <c r="E47" s="3">
        <v>4051</v>
      </c>
      <c r="F47" s="3">
        <v>3879</v>
      </c>
      <c r="G47" s="3">
        <v>3615</v>
      </c>
    </row>
    <row r="48" spans="1:7" outlineLevel="1" x14ac:dyDescent="0.2">
      <c r="A48" s="2" t="s">
        <v>146</v>
      </c>
      <c r="B48" s="4">
        <v>69728</v>
      </c>
      <c r="C48" s="4">
        <v>66570</v>
      </c>
      <c r="D48" s="4">
        <v>67824</v>
      </c>
      <c r="E48" s="4">
        <v>72243</v>
      </c>
      <c r="F48" s="4">
        <v>64705</v>
      </c>
      <c r="G48" s="4">
        <v>57640</v>
      </c>
    </row>
    <row r="50" spans="1:7" x14ac:dyDescent="0.2">
      <c r="B50" s="3"/>
    </row>
    <row r="53" spans="1:7" x14ac:dyDescent="0.2">
      <c r="A53" s="2" t="s">
        <v>196</v>
      </c>
      <c r="B53" s="4">
        <f>(B32+C32)/2</f>
        <v>68149</v>
      </c>
      <c r="C53" s="4">
        <f t="shared" ref="C53:F53" si="0">(C32+D32)/2</f>
        <v>67197</v>
      </c>
      <c r="D53" s="4">
        <f t="shared" si="0"/>
        <v>70033.5</v>
      </c>
      <c r="E53" s="4">
        <f t="shared" si="0"/>
        <v>68474</v>
      </c>
      <c r="F53" s="4">
        <f t="shared" si="0"/>
        <v>61172.5</v>
      </c>
      <c r="G53" s="4"/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F5A9-28D6-4400-A0C4-CBF231DF02B1}">
  <sheetPr>
    <tabColor theme="0" tint="-0.249977111117893"/>
  </sheetPr>
  <dimension ref="A2:G85"/>
  <sheetViews>
    <sheetView workbookViewId="0">
      <selection activeCell="A20" sqref="A20:G20"/>
    </sheetView>
  </sheetViews>
  <sheetFormatPr defaultRowHeight="12.75" outlineLevelRow="1" x14ac:dyDescent="0.2"/>
  <cols>
    <col min="1" max="1" width="42.7109375" style="1" bestFit="1" customWidth="1"/>
    <col min="2" max="7" width="10.7109375" style="1" bestFit="1" customWidth="1"/>
    <col min="8" max="16384" width="9.140625" style="1"/>
  </cols>
  <sheetData>
    <row r="2" spans="1:7" outlineLevel="1" x14ac:dyDescent="0.2">
      <c r="A2" s="2" t="s">
        <v>0</v>
      </c>
      <c r="B2" s="2">
        <v>2025</v>
      </c>
      <c r="C2" s="2">
        <v>2024</v>
      </c>
      <c r="D2" s="2">
        <v>2023</v>
      </c>
      <c r="E2" s="2">
        <v>2022</v>
      </c>
      <c r="F2" s="2">
        <v>2021</v>
      </c>
      <c r="G2" s="2">
        <v>2020</v>
      </c>
    </row>
    <row r="3" spans="1:7" outlineLevel="1" x14ac:dyDescent="0.2">
      <c r="A3" s="1" t="s">
        <v>1</v>
      </c>
      <c r="B3" s="3">
        <v>132214</v>
      </c>
      <c r="C3" s="3">
        <v>145594</v>
      </c>
      <c r="D3" s="3">
        <v>153218</v>
      </c>
      <c r="E3" s="3">
        <v>150017</v>
      </c>
      <c r="F3" s="3">
        <v>133893</v>
      </c>
      <c r="G3" s="3">
        <v>121778</v>
      </c>
    </row>
    <row r="4" spans="1:7" outlineLevel="1" x14ac:dyDescent="0.2">
      <c r="A4" s="1" t="s">
        <v>2</v>
      </c>
      <c r="B4" s="3">
        <v>-109881</v>
      </c>
      <c r="C4" s="3">
        <v>-117018</v>
      </c>
      <c r="D4" s="3">
        <v>-118839</v>
      </c>
      <c r="E4" s="3">
        <v>-115997</v>
      </c>
      <c r="F4" s="3">
        <v>-103218</v>
      </c>
      <c r="G4" s="3">
        <v>-101592</v>
      </c>
    </row>
    <row r="5" spans="1:7" outlineLevel="1" x14ac:dyDescent="0.2">
      <c r="A5" s="2" t="s">
        <v>3</v>
      </c>
      <c r="B5" s="4">
        <v>22333</v>
      </c>
      <c r="C5" s="4">
        <v>28576</v>
      </c>
      <c r="D5" s="4">
        <v>34379</v>
      </c>
      <c r="E5" s="4">
        <v>34020</v>
      </c>
      <c r="F5" s="4">
        <v>30675</v>
      </c>
      <c r="G5" s="4">
        <v>20186</v>
      </c>
    </row>
    <row r="6" spans="1:7" outlineLevel="1" x14ac:dyDescent="0.2">
      <c r="A6" s="1" t="s">
        <v>4</v>
      </c>
      <c r="B6" s="3">
        <v>-9718</v>
      </c>
      <c r="C6" s="3">
        <v>-9993</v>
      </c>
      <c r="D6" s="3">
        <v>-9728</v>
      </c>
      <c r="E6" s="3">
        <v>-9482</v>
      </c>
      <c r="F6" s="3">
        <v>-9194</v>
      </c>
      <c r="G6" s="3">
        <v>-8966</v>
      </c>
    </row>
    <row r="7" spans="1:7" outlineLevel="1" x14ac:dyDescent="0.2">
      <c r="A7" s="1" t="s">
        <v>5</v>
      </c>
      <c r="B7" s="3">
        <v>-2477</v>
      </c>
      <c r="C7" s="3">
        <v>-2529</v>
      </c>
      <c r="D7" s="3">
        <v>-2688</v>
      </c>
      <c r="E7" s="3">
        <v>-2584</v>
      </c>
      <c r="F7" s="3">
        <v>-2808</v>
      </c>
      <c r="G7" s="3">
        <v>-2507</v>
      </c>
    </row>
    <row r="8" spans="1:7" outlineLevel="1" x14ac:dyDescent="0.2">
      <c r="A8" s="1" t="s">
        <v>6</v>
      </c>
      <c r="B8" s="3">
        <v>-6055</v>
      </c>
      <c r="C8" s="3">
        <v>-5580</v>
      </c>
      <c r="D8" s="3">
        <v>-6230</v>
      </c>
      <c r="E8" s="3">
        <v>-5602</v>
      </c>
      <c r="F8" s="3">
        <v>-5467</v>
      </c>
      <c r="G8" s="3">
        <v>-4839</v>
      </c>
    </row>
    <row r="9" spans="1:7" outlineLevel="1" x14ac:dyDescent="0.2">
      <c r="A9" s="1" t="s">
        <v>7</v>
      </c>
      <c r="B9" s="3">
        <v>1551</v>
      </c>
      <c r="C9" s="3">
        <v>2507</v>
      </c>
      <c r="D9" s="3">
        <v>2206</v>
      </c>
      <c r="E9" s="3">
        <v>3323</v>
      </c>
      <c r="F9" s="3">
        <v>2888</v>
      </c>
      <c r="G9" s="3">
        <v>2384</v>
      </c>
    </row>
    <row r="10" spans="1:7" outlineLevel="1" x14ac:dyDescent="0.2">
      <c r="A10" s="1" t="s">
        <v>8</v>
      </c>
      <c r="B10" s="3">
        <v>-1025</v>
      </c>
      <c r="C10" s="3">
        <v>-483</v>
      </c>
      <c r="D10" s="3">
        <v>-516</v>
      </c>
      <c r="E10" s="3">
        <v>-1289</v>
      </c>
      <c r="F10" s="3">
        <v>-1735</v>
      </c>
      <c r="G10" s="3">
        <v>-591</v>
      </c>
    </row>
    <row r="11" spans="1:7" outlineLevel="1" x14ac:dyDescent="0.2">
      <c r="A11" s="1" t="s">
        <v>9</v>
      </c>
      <c r="B11" s="3">
        <v>1118</v>
      </c>
      <c r="C11" s="3">
        <v>1138</v>
      </c>
      <c r="D11" s="3">
        <v>2129</v>
      </c>
      <c r="E11" s="3">
        <v>1732</v>
      </c>
      <c r="F11" s="3">
        <v>1352</v>
      </c>
      <c r="G11" s="3">
        <v>747</v>
      </c>
    </row>
    <row r="12" spans="1:7" outlineLevel="1" x14ac:dyDescent="0.2">
      <c r="A12" s="1" t="s">
        <v>10</v>
      </c>
      <c r="B12" s="3">
        <v>93</v>
      </c>
      <c r="C12" s="3">
        <v>-37</v>
      </c>
      <c r="D12" s="3">
        <v>108</v>
      </c>
      <c r="E12" s="3">
        <v>340</v>
      </c>
      <c r="F12" s="3">
        <v>317</v>
      </c>
      <c r="G12" s="3">
        <v>-323</v>
      </c>
    </row>
    <row r="13" spans="1:7" outlineLevel="1" x14ac:dyDescent="0.2">
      <c r="A13" s="1" t="s">
        <v>11</v>
      </c>
      <c r="B13" s="3">
        <v>623</v>
      </c>
      <c r="C13" s="3">
        <v>738</v>
      </c>
      <c r="D13" s="3">
        <v>678</v>
      </c>
      <c r="E13" s="3">
        <v>273</v>
      </c>
      <c r="F13" s="3">
        <v>212</v>
      </c>
      <c r="G13" s="3">
        <v>224</v>
      </c>
    </row>
    <row r="14" spans="1:7" outlineLevel="1" x14ac:dyDescent="0.2">
      <c r="A14" s="1" t="s">
        <v>12</v>
      </c>
      <c r="B14" s="3">
        <v>-159</v>
      </c>
      <c r="C14" s="3">
        <v>-190</v>
      </c>
      <c r="D14" s="3">
        <v>-254</v>
      </c>
      <c r="E14" s="3">
        <v>-427</v>
      </c>
      <c r="F14" s="3">
        <v>-429</v>
      </c>
      <c r="G14" s="3">
        <v>-358</v>
      </c>
    </row>
    <row r="15" spans="1:7" outlineLevel="1" x14ac:dyDescent="0.2">
      <c r="A15" s="2" t="s">
        <v>13</v>
      </c>
      <c r="B15" s="4">
        <v>6284</v>
      </c>
      <c r="C15" s="4">
        <v>14147</v>
      </c>
      <c r="D15" s="4">
        <v>20084</v>
      </c>
      <c r="E15" s="4">
        <v>20304</v>
      </c>
      <c r="F15" s="4">
        <v>15811</v>
      </c>
      <c r="G15" s="4">
        <v>5957</v>
      </c>
    </row>
    <row r="16" spans="1:7" outlineLevel="1" x14ac:dyDescent="0.2">
      <c r="A16" s="1" t="s">
        <v>14</v>
      </c>
      <c r="B16" s="3">
        <v>-953</v>
      </c>
      <c r="C16" s="3">
        <v>-3738</v>
      </c>
      <c r="D16" s="3">
        <v>-5553</v>
      </c>
      <c r="E16" s="3">
        <v>-5495</v>
      </c>
      <c r="F16" s="3">
        <v>-4761</v>
      </c>
      <c r="G16" s="3">
        <v>-1926</v>
      </c>
    </row>
    <row r="17" spans="1:7" outlineLevel="1" x14ac:dyDescent="0.2">
      <c r="A17" s="1" t="s">
        <v>147</v>
      </c>
      <c r="B17" s="3">
        <v>0</v>
      </c>
      <c r="C17" s="3">
        <v>0</v>
      </c>
      <c r="D17" s="3">
        <v>0</v>
      </c>
      <c r="E17" s="3">
        <v>0</v>
      </c>
      <c r="F17" s="3">
        <v>12346</v>
      </c>
      <c r="G17" s="3">
        <v>-22</v>
      </c>
    </row>
    <row r="18" spans="1:7" outlineLevel="1" x14ac:dyDescent="0.2">
      <c r="A18" s="2" t="s">
        <v>15</v>
      </c>
      <c r="B18" s="4">
        <v>5331</v>
      </c>
      <c r="C18" s="4">
        <v>10409</v>
      </c>
      <c r="D18" s="4">
        <v>14531</v>
      </c>
      <c r="E18" s="4">
        <v>14809</v>
      </c>
      <c r="F18" s="4">
        <v>23396</v>
      </c>
      <c r="G18" s="4">
        <v>4009</v>
      </c>
    </row>
    <row r="20" spans="1:7" outlineLevel="1" x14ac:dyDescent="0.2">
      <c r="A20" s="2" t="s">
        <v>0</v>
      </c>
      <c r="B20" s="2">
        <v>2025</v>
      </c>
      <c r="C20" s="2">
        <v>2024</v>
      </c>
      <c r="D20" s="2">
        <v>2023</v>
      </c>
      <c r="E20" s="2">
        <v>2022</v>
      </c>
      <c r="F20" s="2">
        <v>2021</v>
      </c>
      <c r="G20" s="2">
        <v>2020</v>
      </c>
    </row>
    <row r="21" spans="1:7" outlineLevel="1" x14ac:dyDescent="0.2">
      <c r="A21" s="1" t="s">
        <v>56</v>
      </c>
      <c r="B21" s="3">
        <v>20547</v>
      </c>
      <c r="C21" s="3">
        <v>19436</v>
      </c>
      <c r="D21" s="3">
        <v>17593</v>
      </c>
      <c r="E21" s="3">
        <v>15869</v>
      </c>
      <c r="F21" s="3">
        <v>15005</v>
      </c>
      <c r="G21" s="3">
        <v>16399</v>
      </c>
    </row>
    <row r="22" spans="1:7" outlineLevel="1" x14ac:dyDescent="0.2">
      <c r="A22" s="1" t="s">
        <v>57</v>
      </c>
      <c r="B22" s="3">
        <v>27340</v>
      </c>
      <c r="C22" s="3">
        <v>26537</v>
      </c>
      <c r="D22" s="3">
        <v>26090</v>
      </c>
      <c r="E22" s="3">
        <v>27250</v>
      </c>
      <c r="F22" s="3">
        <v>27859</v>
      </c>
      <c r="G22" s="3">
        <v>35246</v>
      </c>
    </row>
    <row r="23" spans="1:7" outlineLevel="1" x14ac:dyDescent="0.2">
      <c r="A23" s="1" t="s">
        <v>58</v>
      </c>
      <c r="B23" s="3">
        <v>39472</v>
      </c>
      <c r="C23" s="3">
        <v>45220</v>
      </c>
      <c r="D23" s="3">
        <v>41712</v>
      </c>
      <c r="E23" s="3">
        <v>41552</v>
      </c>
      <c r="F23" s="3">
        <v>44471</v>
      </c>
      <c r="G23" s="3">
        <v>47552</v>
      </c>
    </row>
    <row r="24" spans="1:7" outlineLevel="1" x14ac:dyDescent="0.2">
      <c r="A24" s="1" t="s">
        <v>65</v>
      </c>
      <c r="B24" s="3">
        <v>10037</v>
      </c>
      <c r="C24" s="3">
        <v>12786</v>
      </c>
      <c r="D24" s="3">
        <v>13104</v>
      </c>
      <c r="E24" s="3">
        <v>13530</v>
      </c>
      <c r="F24" s="3">
        <v>13588</v>
      </c>
      <c r="G24" s="3">
        <v>5189</v>
      </c>
    </row>
    <row r="25" spans="1:7" outlineLevel="1" x14ac:dyDescent="0.2">
      <c r="A25" s="1" t="s">
        <v>66</v>
      </c>
      <c r="B25" s="3">
        <v>41902</v>
      </c>
      <c r="C25" s="3">
        <v>48547</v>
      </c>
      <c r="D25" s="3">
        <v>49742</v>
      </c>
      <c r="E25" s="3">
        <v>48237</v>
      </c>
      <c r="F25" s="3">
        <v>46955</v>
      </c>
      <c r="G25" s="3">
        <v>53709</v>
      </c>
    </row>
    <row r="26" spans="1:7" outlineLevel="1" x14ac:dyDescent="0.2">
      <c r="A26" s="1" t="s">
        <v>67</v>
      </c>
      <c r="B26" s="3">
        <v>626</v>
      </c>
      <c r="C26" s="3">
        <v>644</v>
      </c>
      <c r="D26" s="3">
        <v>699</v>
      </c>
      <c r="E26" s="3">
        <v>823</v>
      </c>
      <c r="F26" s="3">
        <v>873</v>
      </c>
      <c r="G26" s="3">
        <v>1041</v>
      </c>
    </row>
    <row r="27" spans="1:7" outlineLevel="1" x14ac:dyDescent="0.2">
      <c r="A27" s="1" t="s">
        <v>77</v>
      </c>
      <c r="B27" s="3">
        <v>2953</v>
      </c>
      <c r="C27" s="3">
        <v>3020</v>
      </c>
      <c r="D27" s="3">
        <v>4340</v>
      </c>
      <c r="E27" s="3">
        <v>4478</v>
      </c>
      <c r="F27" s="3">
        <v>3181</v>
      </c>
      <c r="G27" s="3">
        <v>4167</v>
      </c>
    </row>
    <row r="28" spans="1:7" outlineLevel="1" x14ac:dyDescent="0.2">
      <c r="A28" s="1" t="s">
        <v>68</v>
      </c>
      <c r="B28" s="3">
        <v>6090</v>
      </c>
      <c r="C28" s="3">
        <v>4335</v>
      </c>
      <c r="D28" s="3">
        <v>4127</v>
      </c>
      <c r="E28" s="3">
        <v>3725</v>
      </c>
      <c r="F28" s="3">
        <v>3434</v>
      </c>
      <c r="G28" s="3">
        <v>6259</v>
      </c>
    </row>
    <row r="29" spans="1:7" outlineLevel="1" x14ac:dyDescent="0.2">
      <c r="A29" s="1" t="s">
        <v>69</v>
      </c>
      <c r="B29" s="3">
        <v>426</v>
      </c>
      <c r="C29" s="3">
        <v>327</v>
      </c>
      <c r="D29" s="3">
        <v>0</v>
      </c>
      <c r="E29" s="3">
        <v>0</v>
      </c>
      <c r="F29" s="3">
        <v>0</v>
      </c>
      <c r="G29" s="3">
        <v>0</v>
      </c>
    </row>
    <row r="30" spans="1:7" outlineLevel="1" x14ac:dyDescent="0.2">
      <c r="A30" s="1" t="s">
        <v>70</v>
      </c>
      <c r="B30" s="3">
        <v>3941</v>
      </c>
      <c r="C30" s="3">
        <v>2391</v>
      </c>
      <c r="D30" s="3">
        <v>1583</v>
      </c>
      <c r="E30" s="3">
        <v>1677</v>
      </c>
      <c r="F30" s="3">
        <v>1536</v>
      </c>
      <c r="G30" s="3">
        <v>911</v>
      </c>
    </row>
    <row r="31" spans="1:7" outlineLevel="1" x14ac:dyDescent="0.2">
      <c r="A31" s="2" t="s">
        <v>71</v>
      </c>
      <c r="B31" s="4">
        <v>153334</v>
      </c>
      <c r="C31" s="4">
        <v>163243</v>
      </c>
      <c r="D31" s="4">
        <v>158990</v>
      </c>
      <c r="E31" s="4">
        <v>157141</v>
      </c>
      <c r="F31" s="4">
        <v>156902</v>
      </c>
      <c r="G31" s="4">
        <v>170473</v>
      </c>
    </row>
    <row r="32" spans="1:7" outlineLevel="1" x14ac:dyDescent="0.2">
      <c r="A32" s="1" t="s">
        <v>21</v>
      </c>
      <c r="B32" s="3">
        <v>23933</v>
      </c>
      <c r="C32" s="3">
        <v>26234</v>
      </c>
      <c r="D32" s="3">
        <v>27294</v>
      </c>
      <c r="E32" s="3">
        <v>25621</v>
      </c>
      <c r="F32" s="3">
        <v>21466</v>
      </c>
      <c r="G32" s="3">
        <v>26444</v>
      </c>
    </row>
    <row r="33" spans="1:7" outlineLevel="1" x14ac:dyDescent="0.2">
      <c r="A33" s="1" t="s">
        <v>72</v>
      </c>
      <c r="B33" s="3">
        <v>5851</v>
      </c>
      <c r="C33" s="3">
        <v>6973</v>
      </c>
      <c r="D33" s="3">
        <v>7281</v>
      </c>
      <c r="E33" s="3">
        <v>8100</v>
      </c>
      <c r="F33" s="3">
        <v>7673</v>
      </c>
      <c r="G33" s="3">
        <v>10649</v>
      </c>
    </row>
    <row r="34" spans="1:7" outlineLevel="1" x14ac:dyDescent="0.2">
      <c r="A34" s="1" t="s">
        <v>73</v>
      </c>
      <c r="B34" s="3">
        <v>34387</v>
      </c>
      <c r="C34" s="3">
        <v>39320</v>
      </c>
      <c r="D34" s="3">
        <v>38469</v>
      </c>
      <c r="E34" s="3">
        <v>37312</v>
      </c>
      <c r="F34" s="3">
        <v>33670</v>
      </c>
      <c r="G34" s="3">
        <v>42476</v>
      </c>
    </row>
    <row r="35" spans="1:7" outlineLevel="1" x14ac:dyDescent="0.2">
      <c r="A35" s="1" t="s">
        <v>23</v>
      </c>
      <c r="B35" s="3">
        <v>12254</v>
      </c>
      <c r="C35" s="3">
        <v>14511</v>
      </c>
      <c r="D35" s="3">
        <v>15962</v>
      </c>
      <c r="E35" s="3">
        <v>17679</v>
      </c>
      <c r="F35" s="3">
        <v>23120</v>
      </c>
      <c r="G35" s="3">
        <v>23048</v>
      </c>
    </row>
    <row r="36" spans="1:7" outlineLevel="1" x14ac:dyDescent="0.2">
      <c r="A36" s="1" t="s">
        <v>74</v>
      </c>
      <c r="B36" s="3">
        <v>6940</v>
      </c>
      <c r="C36" s="3">
        <v>7086</v>
      </c>
      <c r="D36" s="3">
        <v>6159</v>
      </c>
      <c r="E36" s="3">
        <v>6237</v>
      </c>
      <c r="F36" s="3">
        <v>6706</v>
      </c>
      <c r="G36" s="3">
        <v>5356</v>
      </c>
    </row>
    <row r="37" spans="1:7" outlineLevel="1" x14ac:dyDescent="0.2">
      <c r="A37" s="1" t="s">
        <v>75</v>
      </c>
      <c r="B37" s="3">
        <v>2852</v>
      </c>
      <c r="C37" s="3">
        <v>2868</v>
      </c>
      <c r="D37" s="3">
        <v>3599</v>
      </c>
      <c r="E37" s="3">
        <v>3453</v>
      </c>
      <c r="F37" s="3">
        <v>3079</v>
      </c>
      <c r="G37" s="3">
        <v>2757</v>
      </c>
    </row>
    <row r="38" spans="1:7" outlineLevel="1" x14ac:dyDescent="0.2">
      <c r="A38" s="1" t="s">
        <v>76</v>
      </c>
      <c r="B38" s="3">
        <v>1257</v>
      </c>
      <c r="C38" s="3">
        <v>1034</v>
      </c>
      <c r="D38" s="3">
        <v>0</v>
      </c>
      <c r="E38" s="3">
        <v>0</v>
      </c>
      <c r="F38" s="3">
        <v>0</v>
      </c>
      <c r="G38" s="3">
        <v>0</v>
      </c>
    </row>
    <row r="39" spans="1:7" outlineLevel="1" x14ac:dyDescent="0.2">
      <c r="A39" s="1" t="s">
        <v>25</v>
      </c>
      <c r="B39" s="3">
        <v>3645</v>
      </c>
      <c r="C39" s="3">
        <v>3581</v>
      </c>
      <c r="D39" s="3">
        <v>4473</v>
      </c>
      <c r="E39" s="3">
        <v>4472</v>
      </c>
      <c r="F39" s="3">
        <v>4073</v>
      </c>
      <c r="G39" s="3">
        <v>4534</v>
      </c>
    </row>
    <row r="40" spans="1:7" outlineLevel="1" x14ac:dyDescent="0.2">
      <c r="A40" s="1" t="s">
        <v>26</v>
      </c>
      <c r="B40" s="3">
        <v>11013</v>
      </c>
      <c r="C40" s="3">
        <v>160</v>
      </c>
      <c r="D40" s="3">
        <v>795</v>
      </c>
      <c r="E40" s="3">
        <v>0</v>
      </c>
      <c r="F40" s="3">
        <v>3142</v>
      </c>
      <c r="G40" s="3">
        <v>0</v>
      </c>
    </row>
    <row r="41" spans="1:7" outlineLevel="1" x14ac:dyDescent="0.2">
      <c r="A41" s="2" t="s">
        <v>59</v>
      </c>
      <c r="B41" s="4">
        <v>102132</v>
      </c>
      <c r="C41" s="4">
        <v>101767</v>
      </c>
      <c r="D41" s="4">
        <v>104032</v>
      </c>
      <c r="E41" s="4">
        <v>102874</v>
      </c>
      <c r="F41" s="4">
        <v>102929</v>
      </c>
      <c r="G41" s="4">
        <v>115264</v>
      </c>
    </row>
    <row r="42" spans="1:7" outlineLevel="1" x14ac:dyDescent="0.2">
      <c r="A42" s="2" t="s">
        <v>28</v>
      </c>
      <c r="B42" s="4">
        <v>255466</v>
      </c>
      <c r="C42" s="4">
        <v>265010</v>
      </c>
      <c r="D42" s="4">
        <v>263022</v>
      </c>
      <c r="E42" s="4">
        <v>260015</v>
      </c>
      <c r="F42" s="4">
        <v>259831</v>
      </c>
      <c r="G42" s="4">
        <v>285737</v>
      </c>
    </row>
    <row r="43" spans="1:7" outlineLevel="1" x14ac:dyDescent="0.2">
      <c r="A43" s="1" t="s">
        <v>60</v>
      </c>
      <c r="B43" s="3">
        <v>3070</v>
      </c>
      <c r="C43" s="3">
        <v>3070</v>
      </c>
      <c r="D43" s="3">
        <v>3070</v>
      </c>
      <c r="E43" s="3">
        <v>3070</v>
      </c>
      <c r="F43" s="3">
        <v>3070</v>
      </c>
      <c r="G43" s="3">
        <v>3070</v>
      </c>
    </row>
    <row r="44" spans="1:7" outlineLevel="1" x14ac:dyDescent="0.2">
      <c r="A44" s="1" t="s">
        <v>61</v>
      </c>
      <c r="B44" s="3">
        <v>11718</v>
      </c>
      <c r="C44" s="3">
        <v>11718</v>
      </c>
      <c r="D44" s="3">
        <v>11718</v>
      </c>
      <c r="E44" s="3">
        <v>11718</v>
      </c>
      <c r="F44" s="3">
        <v>11723</v>
      </c>
      <c r="G44" s="3">
        <v>11551</v>
      </c>
    </row>
    <row r="45" spans="1:7" outlineLevel="1" x14ac:dyDescent="0.2">
      <c r="A45" s="1" t="s">
        <v>62</v>
      </c>
      <c r="B45" s="3">
        <v>77631</v>
      </c>
      <c r="C45" s="3">
        <v>75469</v>
      </c>
      <c r="D45" s="3">
        <v>76670</v>
      </c>
      <c r="E45" s="3">
        <v>67695</v>
      </c>
      <c r="F45" s="3">
        <v>56190</v>
      </c>
      <c r="G45" s="3">
        <v>47111</v>
      </c>
    </row>
    <row r="46" spans="1:7" outlineLevel="1" x14ac:dyDescent="0.2">
      <c r="A46" s="1" t="s">
        <v>63</v>
      </c>
      <c r="B46" s="3">
        <v>1163</v>
      </c>
      <c r="C46" s="3">
        <v>2368</v>
      </c>
      <c r="D46" s="3">
        <v>2571</v>
      </c>
      <c r="E46" s="3">
        <v>2932</v>
      </c>
      <c r="F46" s="3">
        <v>968</v>
      </c>
      <c r="G46" s="3">
        <v>-1041</v>
      </c>
    </row>
    <row r="47" spans="1:7" outlineLevel="1" x14ac:dyDescent="0.2">
      <c r="A47" s="1" t="s">
        <v>64</v>
      </c>
      <c r="B47" s="3">
        <v>-325</v>
      </c>
      <c r="C47" s="3">
        <v>0</v>
      </c>
      <c r="D47" s="3">
        <v>-2256</v>
      </c>
      <c r="E47" s="3">
        <v>0</v>
      </c>
      <c r="F47" s="3">
        <v>0</v>
      </c>
      <c r="G47" s="3">
        <v>0</v>
      </c>
    </row>
    <row r="48" spans="1:7" outlineLevel="1" x14ac:dyDescent="0.2">
      <c r="A48" s="1" t="s">
        <v>79</v>
      </c>
      <c r="B48" s="3">
        <v>93257</v>
      </c>
      <c r="C48" s="3">
        <v>92625</v>
      </c>
      <c r="D48" s="3">
        <v>91773</v>
      </c>
      <c r="E48" s="3">
        <v>85415</v>
      </c>
      <c r="F48" s="3">
        <v>71951</v>
      </c>
      <c r="G48" s="3">
        <v>60691</v>
      </c>
    </row>
    <row r="49" spans="1:7" outlineLevel="1" x14ac:dyDescent="0.2">
      <c r="A49" s="1" t="s">
        <v>80</v>
      </c>
      <c r="B49" s="3">
        <v>983</v>
      </c>
      <c r="C49" s="3">
        <v>1005</v>
      </c>
      <c r="D49" s="3">
        <v>1043</v>
      </c>
      <c r="E49" s="3">
        <v>1125</v>
      </c>
      <c r="F49" s="3">
        <v>1216</v>
      </c>
      <c r="G49" s="3">
        <v>1557</v>
      </c>
    </row>
    <row r="50" spans="1:7" outlineLevel="1" x14ac:dyDescent="0.2">
      <c r="A50" s="2" t="s">
        <v>81</v>
      </c>
      <c r="B50" s="4">
        <v>94240</v>
      </c>
      <c r="C50" s="4">
        <v>93630</v>
      </c>
      <c r="D50" s="4">
        <v>92816</v>
      </c>
      <c r="E50" s="4">
        <v>86540</v>
      </c>
      <c r="F50" s="4">
        <v>73167</v>
      </c>
      <c r="G50" s="4">
        <v>62248</v>
      </c>
    </row>
    <row r="51" spans="1:7" outlineLevel="1" x14ac:dyDescent="0.2">
      <c r="A51" s="1" t="s">
        <v>82</v>
      </c>
      <c r="B51" s="3">
        <v>807</v>
      </c>
      <c r="C51" s="3">
        <v>952</v>
      </c>
      <c r="D51" s="3">
        <v>1090</v>
      </c>
      <c r="E51" s="3">
        <v>1021</v>
      </c>
      <c r="F51" s="3">
        <v>5359</v>
      </c>
      <c r="G51" s="3">
        <v>12070</v>
      </c>
    </row>
    <row r="52" spans="1:7" outlineLevel="1" x14ac:dyDescent="0.2">
      <c r="A52" s="1" t="s">
        <v>34</v>
      </c>
      <c r="B52" s="3">
        <v>7612</v>
      </c>
      <c r="C52" s="3">
        <v>7332</v>
      </c>
      <c r="D52" s="3">
        <v>7345</v>
      </c>
      <c r="E52" s="3">
        <v>6438</v>
      </c>
      <c r="F52" s="3">
        <v>7909</v>
      </c>
      <c r="G52" s="3">
        <v>11116</v>
      </c>
    </row>
    <row r="53" spans="1:7" outlineLevel="1" x14ac:dyDescent="0.2">
      <c r="A53" s="1" t="s">
        <v>35</v>
      </c>
      <c r="B53" s="3">
        <v>62410</v>
      </c>
      <c r="C53" s="3">
        <v>73487</v>
      </c>
      <c r="D53" s="3">
        <v>63724</v>
      </c>
      <c r="E53" s="3">
        <v>62051</v>
      </c>
      <c r="F53" s="3">
        <v>73543</v>
      </c>
      <c r="G53" s="3">
        <v>86539</v>
      </c>
    </row>
    <row r="54" spans="1:7" outlineLevel="1" x14ac:dyDescent="0.2">
      <c r="A54" s="1" t="s">
        <v>83</v>
      </c>
      <c r="B54" s="3">
        <v>1278</v>
      </c>
      <c r="C54" s="3">
        <v>1490</v>
      </c>
      <c r="D54" s="3">
        <v>1642</v>
      </c>
      <c r="E54" s="3">
        <v>2524</v>
      </c>
      <c r="F54" s="3">
        <v>1808</v>
      </c>
      <c r="G54" s="3">
        <v>1971</v>
      </c>
    </row>
    <row r="55" spans="1:7" outlineLevel="1" x14ac:dyDescent="0.2">
      <c r="A55" s="1" t="s">
        <v>84</v>
      </c>
      <c r="B55" s="3">
        <v>10201</v>
      </c>
      <c r="C55" s="3">
        <v>7497</v>
      </c>
      <c r="D55" s="3">
        <v>7714</v>
      </c>
      <c r="E55" s="3">
        <v>6910</v>
      </c>
      <c r="F55" s="3">
        <v>4488</v>
      </c>
      <c r="G55" s="3">
        <v>3649</v>
      </c>
    </row>
    <row r="56" spans="1:7" outlineLevel="1" x14ac:dyDescent="0.2">
      <c r="A56" s="1" t="s">
        <v>85</v>
      </c>
      <c r="B56" s="3">
        <v>0</v>
      </c>
      <c r="C56" s="3">
        <v>0</v>
      </c>
      <c r="D56" s="3">
        <v>1223</v>
      </c>
      <c r="E56" s="3">
        <v>1234</v>
      </c>
      <c r="F56" s="3">
        <v>1175</v>
      </c>
      <c r="G56" s="3">
        <v>1567</v>
      </c>
    </row>
    <row r="57" spans="1:7" outlineLevel="1" x14ac:dyDescent="0.2">
      <c r="A57" s="1" t="s">
        <v>38</v>
      </c>
      <c r="B57" s="3">
        <v>2942</v>
      </c>
      <c r="C57" s="3">
        <v>3100</v>
      </c>
      <c r="D57" s="3">
        <v>3514</v>
      </c>
      <c r="E57" s="3">
        <v>3656</v>
      </c>
      <c r="F57" s="3">
        <v>3980</v>
      </c>
      <c r="G57" s="3">
        <v>5787</v>
      </c>
    </row>
    <row r="58" spans="1:7" outlineLevel="1" x14ac:dyDescent="0.2">
      <c r="A58" s="1" t="s">
        <v>39</v>
      </c>
      <c r="B58" s="3">
        <v>1020</v>
      </c>
      <c r="C58" s="3">
        <v>1342</v>
      </c>
      <c r="D58" s="3">
        <v>0</v>
      </c>
      <c r="E58" s="3">
        <v>0</v>
      </c>
      <c r="F58" s="3">
        <v>0</v>
      </c>
      <c r="G58" s="3">
        <v>0</v>
      </c>
    </row>
    <row r="59" spans="1:7" outlineLevel="1" x14ac:dyDescent="0.2">
      <c r="A59" s="1" t="s">
        <v>40</v>
      </c>
      <c r="B59" s="3">
        <v>1188</v>
      </c>
      <c r="C59" s="3">
        <v>1354</v>
      </c>
      <c r="D59" s="3">
        <v>1520</v>
      </c>
      <c r="E59" s="3">
        <v>1238</v>
      </c>
      <c r="F59" s="3">
        <v>727</v>
      </c>
      <c r="G59" s="3">
        <v>981</v>
      </c>
    </row>
    <row r="60" spans="1:7" outlineLevel="1" x14ac:dyDescent="0.2">
      <c r="A60" s="2" t="s">
        <v>86</v>
      </c>
      <c r="B60" s="4">
        <v>87458</v>
      </c>
      <c r="C60" s="4">
        <v>96554</v>
      </c>
      <c r="D60" s="4">
        <v>87772</v>
      </c>
      <c r="E60" s="4">
        <v>85072</v>
      </c>
      <c r="F60" s="4">
        <v>98989</v>
      </c>
      <c r="G60" s="4">
        <v>123680</v>
      </c>
    </row>
    <row r="61" spans="1:7" outlineLevel="1" x14ac:dyDescent="0.2">
      <c r="A61" s="1" t="s">
        <v>87</v>
      </c>
      <c r="B61" s="3">
        <v>10665</v>
      </c>
      <c r="C61" s="3">
        <v>11312</v>
      </c>
      <c r="D61" s="3">
        <v>12828</v>
      </c>
      <c r="E61" s="3">
        <v>12204</v>
      </c>
      <c r="F61" s="3">
        <v>10655</v>
      </c>
      <c r="G61" s="3">
        <v>12378</v>
      </c>
    </row>
    <row r="62" spans="1:7" outlineLevel="1" x14ac:dyDescent="0.2">
      <c r="A62" s="1" t="s">
        <v>43</v>
      </c>
      <c r="B62" s="3">
        <v>7846</v>
      </c>
      <c r="C62" s="3">
        <v>7688</v>
      </c>
      <c r="D62" s="3">
        <v>7955</v>
      </c>
      <c r="E62" s="3">
        <v>9585</v>
      </c>
      <c r="F62" s="3">
        <v>8053</v>
      </c>
      <c r="G62" s="3">
        <v>9334</v>
      </c>
    </row>
    <row r="63" spans="1:7" outlineLevel="1" x14ac:dyDescent="0.2">
      <c r="A63" s="1" t="s">
        <v>44</v>
      </c>
      <c r="B63" s="3">
        <v>37596</v>
      </c>
      <c r="C63" s="3">
        <v>39311</v>
      </c>
      <c r="D63" s="3">
        <v>44914</v>
      </c>
      <c r="E63" s="3">
        <v>49786</v>
      </c>
      <c r="F63" s="3">
        <v>52300</v>
      </c>
      <c r="G63" s="3">
        <v>59303</v>
      </c>
    </row>
    <row r="64" spans="1:7" outlineLevel="1" x14ac:dyDescent="0.2">
      <c r="A64" s="1" t="s">
        <v>88</v>
      </c>
      <c r="B64" s="3">
        <v>4277</v>
      </c>
      <c r="C64" s="3">
        <v>4071</v>
      </c>
      <c r="D64" s="3">
        <v>5476</v>
      </c>
      <c r="E64" s="3">
        <v>5404</v>
      </c>
      <c r="F64" s="3">
        <v>5997</v>
      </c>
      <c r="G64" s="3">
        <v>6627</v>
      </c>
    </row>
    <row r="65" spans="1:7" outlineLevel="1" x14ac:dyDescent="0.2">
      <c r="A65" s="1" t="s">
        <v>89</v>
      </c>
      <c r="B65" s="3">
        <v>0</v>
      </c>
      <c r="C65" s="3">
        <v>0</v>
      </c>
      <c r="D65" s="3">
        <v>1478</v>
      </c>
      <c r="E65" s="3">
        <v>1391</v>
      </c>
      <c r="F65" s="3">
        <v>1486</v>
      </c>
      <c r="G65" s="3">
        <v>1594</v>
      </c>
    </row>
    <row r="66" spans="1:7" outlineLevel="1" x14ac:dyDescent="0.2">
      <c r="A66" s="1" t="s">
        <v>46</v>
      </c>
      <c r="B66" s="3">
        <v>7955</v>
      </c>
      <c r="C66" s="3">
        <v>8146</v>
      </c>
      <c r="D66" s="3">
        <v>6877</v>
      </c>
      <c r="E66" s="3">
        <v>6898</v>
      </c>
      <c r="F66" s="3">
        <v>5929</v>
      </c>
      <c r="G66" s="3">
        <v>7169</v>
      </c>
    </row>
    <row r="67" spans="1:7" outlineLevel="1" x14ac:dyDescent="0.2">
      <c r="A67" s="1" t="s">
        <v>90</v>
      </c>
      <c r="B67" s="3">
        <v>646</v>
      </c>
      <c r="C67" s="3">
        <v>705</v>
      </c>
      <c r="D67" s="3">
        <v>0</v>
      </c>
      <c r="E67" s="3">
        <v>0</v>
      </c>
      <c r="F67" s="3">
        <v>0</v>
      </c>
      <c r="G67" s="3">
        <v>0</v>
      </c>
    </row>
    <row r="68" spans="1:7" outlineLevel="1" x14ac:dyDescent="0.2">
      <c r="A68" s="1" t="s">
        <v>148</v>
      </c>
      <c r="B68" s="3">
        <v>3443</v>
      </c>
      <c r="C68" s="3">
        <v>3547</v>
      </c>
      <c r="D68" s="3">
        <v>2682</v>
      </c>
      <c r="E68" s="3">
        <v>3135</v>
      </c>
      <c r="F68" s="3">
        <v>3086</v>
      </c>
      <c r="G68" s="3">
        <v>3404</v>
      </c>
    </row>
    <row r="69" spans="1:7" outlineLevel="1" x14ac:dyDescent="0.2">
      <c r="A69" s="1" t="s">
        <v>48</v>
      </c>
      <c r="B69" s="3">
        <v>1340</v>
      </c>
      <c r="C69" s="3">
        <v>46</v>
      </c>
      <c r="D69" s="3">
        <v>224</v>
      </c>
      <c r="E69" s="3">
        <v>0</v>
      </c>
      <c r="F69" s="3">
        <v>169</v>
      </c>
      <c r="G69" s="3">
        <v>0</v>
      </c>
    </row>
    <row r="70" spans="1:7" outlineLevel="1" x14ac:dyDescent="0.2">
      <c r="A70" s="2" t="s">
        <v>78</v>
      </c>
      <c r="B70" s="4">
        <v>73768</v>
      </c>
      <c r="C70" s="4">
        <v>74826</v>
      </c>
      <c r="D70" s="4">
        <v>82434</v>
      </c>
      <c r="E70" s="4">
        <v>88403</v>
      </c>
      <c r="F70" s="4">
        <v>87675</v>
      </c>
      <c r="G70" s="4">
        <v>99809</v>
      </c>
    </row>
    <row r="71" spans="1:7" outlineLevel="1" x14ac:dyDescent="0.2">
      <c r="A71" s="2" t="s">
        <v>50</v>
      </c>
      <c r="B71" s="4">
        <v>161226</v>
      </c>
      <c r="C71" s="4">
        <v>171380</v>
      </c>
      <c r="D71" s="4">
        <v>170206</v>
      </c>
      <c r="E71" s="4">
        <v>173475</v>
      </c>
      <c r="F71" s="4">
        <v>186664</v>
      </c>
      <c r="G71" s="4">
        <v>223489</v>
      </c>
    </row>
    <row r="72" spans="1:7" outlineLevel="1" x14ac:dyDescent="0.2">
      <c r="A72" s="2" t="s">
        <v>51</v>
      </c>
      <c r="B72" s="4">
        <v>255466</v>
      </c>
      <c r="C72" s="4">
        <v>265010</v>
      </c>
      <c r="D72" s="4">
        <v>263022</v>
      </c>
      <c r="E72" s="4">
        <v>260015</v>
      </c>
      <c r="F72" s="4">
        <v>259831</v>
      </c>
      <c r="G72" s="4">
        <v>285737</v>
      </c>
    </row>
    <row r="75" spans="1:7" x14ac:dyDescent="0.2">
      <c r="A75" s="2" t="s">
        <v>173</v>
      </c>
    </row>
    <row r="76" spans="1:7" x14ac:dyDescent="0.2">
      <c r="A76" s="1" t="s">
        <v>54</v>
      </c>
      <c r="B76" s="3">
        <f>B51+B52+B62</f>
        <v>16265</v>
      </c>
      <c r="C76" s="3">
        <f t="shared" ref="C76:G76" si="0">C51+C52+C62</f>
        <v>15972</v>
      </c>
      <c r="D76" s="3">
        <f t="shared" si="0"/>
        <v>16390</v>
      </c>
      <c r="E76" s="3">
        <f t="shared" si="0"/>
        <v>17044</v>
      </c>
      <c r="F76" s="3">
        <f t="shared" si="0"/>
        <v>21321</v>
      </c>
      <c r="G76" s="3">
        <f t="shared" si="0"/>
        <v>32520</v>
      </c>
    </row>
    <row r="77" spans="1:7" x14ac:dyDescent="0.2">
      <c r="A77" s="1" t="s">
        <v>169</v>
      </c>
      <c r="B77" s="3">
        <f>B53+B63</f>
        <v>100006</v>
      </c>
      <c r="C77" s="3">
        <f t="shared" ref="C77:G77" si="1">C53+C63</f>
        <v>112798</v>
      </c>
      <c r="D77" s="3">
        <f t="shared" si="1"/>
        <v>108638</v>
      </c>
      <c r="E77" s="3">
        <f t="shared" si="1"/>
        <v>111837</v>
      </c>
      <c r="F77" s="3">
        <f t="shared" si="1"/>
        <v>125843</v>
      </c>
      <c r="G77" s="3">
        <f t="shared" si="1"/>
        <v>145842</v>
      </c>
    </row>
    <row r="78" spans="1:7" x14ac:dyDescent="0.2">
      <c r="A78" s="1" t="s">
        <v>170</v>
      </c>
      <c r="B78" s="3">
        <f>B54+B55+B56+B57+B58+B59+B64+B65+B66+B67+B68+B69</f>
        <v>34290</v>
      </c>
      <c r="C78" s="3">
        <f t="shared" ref="C78:G78" si="2">C54+C55+C56+C57+C58+C59+C64+C65+C66+C67+C68+C69</f>
        <v>31298</v>
      </c>
      <c r="D78" s="3">
        <f t="shared" si="2"/>
        <v>32350</v>
      </c>
      <c r="E78" s="3">
        <f t="shared" si="2"/>
        <v>32390</v>
      </c>
      <c r="F78" s="3">
        <f t="shared" si="2"/>
        <v>28845</v>
      </c>
      <c r="G78" s="3">
        <f t="shared" si="2"/>
        <v>32749</v>
      </c>
    </row>
    <row r="80" spans="1:7" x14ac:dyDescent="0.2">
      <c r="A80" s="1" t="s">
        <v>163</v>
      </c>
      <c r="B80" s="3">
        <f>B22+B23</f>
        <v>66812</v>
      </c>
      <c r="C80" s="3">
        <f t="shared" ref="C80:G80" si="3">C22+C23</f>
        <v>71757</v>
      </c>
      <c r="D80" s="3">
        <f t="shared" si="3"/>
        <v>67802</v>
      </c>
      <c r="E80" s="3">
        <f t="shared" si="3"/>
        <v>68802</v>
      </c>
      <c r="F80" s="3">
        <f t="shared" si="3"/>
        <v>72330</v>
      </c>
      <c r="G80" s="3">
        <f t="shared" si="3"/>
        <v>82798</v>
      </c>
    </row>
    <row r="82" spans="1:7" x14ac:dyDescent="0.2">
      <c r="A82" s="1" t="s">
        <v>132</v>
      </c>
      <c r="B82" s="3">
        <f>B24+B25+B26</f>
        <v>52565</v>
      </c>
      <c r="C82" s="3">
        <f t="shared" ref="C82:G82" si="4">C24+C25+C26</f>
        <v>61977</v>
      </c>
      <c r="D82" s="3">
        <f t="shared" si="4"/>
        <v>63545</v>
      </c>
      <c r="E82" s="3">
        <f t="shared" si="4"/>
        <v>62590</v>
      </c>
      <c r="F82" s="3">
        <f t="shared" si="4"/>
        <v>61416</v>
      </c>
      <c r="G82" s="3">
        <f t="shared" si="4"/>
        <v>59939</v>
      </c>
    </row>
    <row r="83" spans="1:7" x14ac:dyDescent="0.2">
      <c r="A83" s="1" t="s">
        <v>164</v>
      </c>
      <c r="B83" s="3">
        <f>B27+B28+B29+B30</f>
        <v>13410</v>
      </c>
      <c r="C83" s="3">
        <f t="shared" ref="C83:G83" si="5">C27+C28+C29+C30</f>
        <v>10073</v>
      </c>
      <c r="D83" s="3">
        <f t="shared" si="5"/>
        <v>10050</v>
      </c>
      <c r="E83" s="3">
        <f t="shared" si="5"/>
        <v>9880</v>
      </c>
      <c r="F83" s="3">
        <f t="shared" si="5"/>
        <v>8151</v>
      </c>
      <c r="G83" s="3">
        <f t="shared" si="5"/>
        <v>11337</v>
      </c>
    </row>
    <row r="84" spans="1:7" x14ac:dyDescent="0.2">
      <c r="A84" s="1" t="s">
        <v>161</v>
      </c>
      <c r="B84" s="3">
        <f>B36+B37+B38+B39+B40</f>
        <v>25707</v>
      </c>
      <c r="C84" s="3">
        <f t="shared" ref="C84:G84" si="6">C36+C37+C38+C39+C40</f>
        <v>14729</v>
      </c>
      <c r="D84" s="3">
        <f t="shared" si="6"/>
        <v>15026</v>
      </c>
      <c r="E84" s="3">
        <f t="shared" si="6"/>
        <v>14162</v>
      </c>
      <c r="F84" s="3">
        <f t="shared" si="6"/>
        <v>17000</v>
      </c>
      <c r="G84" s="3">
        <f t="shared" si="6"/>
        <v>12647</v>
      </c>
    </row>
    <row r="85" spans="1:7" x14ac:dyDescent="0.2">
      <c r="A85" s="2" t="s">
        <v>196</v>
      </c>
      <c r="B85" s="4">
        <f>(B42+C42)/2</f>
        <v>260238</v>
      </c>
      <c r="C85" s="4">
        <f t="shared" ref="C85:F85" si="7">(C42+D42)/2</f>
        <v>264016</v>
      </c>
      <c r="D85" s="4">
        <f t="shared" si="7"/>
        <v>261518.5</v>
      </c>
      <c r="E85" s="4">
        <f t="shared" si="7"/>
        <v>259923</v>
      </c>
      <c r="F85" s="4">
        <f t="shared" si="7"/>
        <v>272784</v>
      </c>
      <c r="G8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4365-278D-4813-B9DA-E701D7F74933}">
  <sheetPr>
    <tabColor theme="0" tint="-0.249977111117893"/>
  </sheetPr>
  <dimension ref="A2:G86"/>
  <sheetViews>
    <sheetView zoomScaleNormal="100" workbookViewId="0">
      <selection activeCell="A22" sqref="A22:G22"/>
    </sheetView>
  </sheetViews>
  <sheetFormatPr defaultRowHeight="12.75" outlineLevelRow="1" x14ac:dyDescent="0.2"/>
  <cols>
    <col min="1" max="1" width="44.7109375" style="1" bestFit="1" customWidth="1"/>
    <col min="2" max="7" width="10.7109375" style="1" bestFit="1" customWidth="1"/>
    <col min="8" max="16384" width="9.140625" style="1"/>
  </cols>
  <sheetData>
    <row r="2" spans="1:7" outlineLevel="1" x14ac:dyDescent="0.2">
      <c r="A2" s="2" t="s">
        <v>0</v>
      </c>
      <c r="B2" s="2">
        <v>2025</v>
      </c>
      <c r="C2" s="2">
        <v>2024</v>
      </c>
      <c r="D2" s="2">
        <v>2023</v>
      </c>
      <c r="E2" s="2">
        <v>2022</v>
      </c>
      <c r="F2" s="2">
        <v>2021</v>
      </c>
      <c r="G2" s="2">
        <v>2020</v>
      </c>
    </row>
    <row r="3" spans="1:7" outlineLevel="1" x14ac:dyDescent="0.2">
      <c r="A3" s="1" t="s">
        <v>91</v>
      </c>
      <c r="B3" s="3">
        <v>321913</v>
      </c>
      <c r="C3" s="3">
        <v>324656</v>
      </c>
      <c r="D3" s="3">
        <v>322284</v>
      </c>
      <c r="E3" s="3">
        <v>279050</v>
      </c>
      <c r="F3" s="3">
        <v>250200</v>
      </c>
      <c r="G3" s="3">
        <v>222884</v>
      </c>
    </row>
    <row r="4" spans="1:7" outlineLevel="1" x14ac:dyDescent="0.2">
      <c r="A4" s="1" t="s">
        <v>2</v>
      </c>
      <c r="B4" s="3">
        <v>-270671</v>
      </c>
      <c r="C4" s="3">
        <v>-265184</v>
      </c>
      <c r="D4" s="3">
        <v>-261262</v>
      </c>
      <c r="E4" s="3">
        <v>-226866</v>
      </c>
      <c r="F4" s="3">
        <v>-202959</v>
      </c>
      <c r="G4" s="3">
        <v>-183937</v>
      </c>
    </row>
    <row r="5" spans="1:7" outlineLevel="1" x14ac:dyDescent="0.2">
      <c r="A5" s="2" t="s">
        <v>92</v>
      </c>
      <c r="B5" s="4">
        <v>51243</v>
      </c>
      <c r="C5" s="4">
        <v>59472</v>
      </c>
      <c r="D5" s="4">
        <v>61022</v>
      </c>
      <c r="E5" s="4">
        <v>52184</v>
      </c>
      <c r="F5" s="4">
        <v>47241</v>
      </c>
      <c r="G5" s="4">
        <v>38947</v>
      </c>
    </row>
    <row r="6" spans="1:7" outlineLevel="1" x14ac:dyDescent="0.2">
      <c r="A6" s="1" t="s">
        <v>93</v>
      </c>
      <c r="B6" s="3">
        <v>-22804</v>
      </c>
      <c r="C6" s="3">
        <v>-22320</v>
      </c>
      <c r="D6" s="3">
        <v>-21340</v>
      </c>
      <c r="E6" s="3">
        <v>-19840</v>
      </c>
      <c r="F6" s="3">
        <v>-19228</v>
      </c>
      <c r="G6" s="3">
        <v>-18407</v>
      </c>
    </row>
    <row r="7" spans="1:7" outlineLevel="1" x14ac:dyDescent="0.2">
      <c r="A7" s="1" t="s">
        <v>94</v>
      </c>
      <c r="B7" s="3">
        <v>-12541</v>
      </c>
      <c r="C7" s="3">
        <v>-12754</v>
      </c>
      <c r="D7" s="3">
        <v>-12724</v>
      </c>
      <c r="E7" s="3">
        <v>-11655</v>
      </c>
      <c r="F7" s="3">
        <v>-10420</v>
      </c>
      <c r="G7" s="3">
        <v>-9399</v>
      </c>
    </row>
    <row r="8" spans="1:7" outlineLevel="1" x14ac:dyDescent="0.2">
      <c r="A8" s="1" t="s">
        <v>7</v>
      </c>
      <c r="B8" s="3">
        <v>13615</v>
      </c>
      <c r="C8" s="3">
        <v>14974</v>
      </c>
      <c r="D8" s="3">
        <v>15152</v>
      </c>
      <c r="E8" s="3">
        <v>19234</v>
      </c>
      <c r="F8" s="3">
        <v>14731</v>
      </c>
      <c r="G8" s="3">
        <v>12438</v>
      </c>
    </row>
    <row r="9" spans="1:7" outlineLevel="1" x14ac:dyDescent="0.2">
      <c r="A9" s="1" t="s">
        <v>95</v>
      </c>
      <c r="B9" s="3">
        <v>-20644</v>
      </c>
      <c r="C9" s="3">
        <v>-20312</v>
      </c>
      <c r="D9" s="3">
        <v>-19534</v>
      </c>
      <c r="E9" s="3">
        <v>-17813</v>
      </c>
      <c r="F9" s="3">
        <v>-13049</v>
      </c>
      <c r="G9" s="3">
        <v>-13904</v>
      </c>
    </row>
    <row r="10" spans="1:7" outlineLevel="1" x14ac:dyDescent="0.2">
      <c r="A10" s="2" t="s">
        <v>96</v>
      </c>
      <c r="B10" s="4">
        <v>8868</v>
      </c>
      <c r="C10" s="4">
        <v>19060</v>
      </c>
      <c r="D10" s="4">
        <v>22576</v>
      </c>
      <c r="E10" s="4">
        <v>22109</v>
      </c>
      <c r="F10" s="4">
        <v>19275</v>
      </c>
      <c r="G10" s="4">
        <v>9675</v>
      </c>
    </row>
    <row r="11" spans="1:7" outlineLevel="1" x14ac:dyDescent="0.2">
      <c r="A11" s="1" t="s">
        <v>97</v>
      </c>
      <c r="B11" s="3">
        <v>930</v>
      </c>
      <c r="C11" s="3">
        <v>375</v>
      </c>
      <c r="D11" s="3">
        <v>2291</v>
      </c>
      <c r="E11" s="3">
        <v>2403</v>
      </c>
      <c r="F11" s="3">
        <v>2321</v>
      </c>
      <c r="G11" s="3">
        <v>2756</v>
      </c>
    </row>
    <row r="12" spans="1:7" outlineLevel="1" x14ac:dyDescent="0.2">
      <c r="A12" s="1" t="s">
        <v>11</v>
      </c>
      <c r="B12" s="3">
        <v>1824</v>
      </c>
      <c r="C12" s="3">
        <v>2419</v>
      </c>
      <c r="D12" s="3">
        <v>2658</v>
      </c>
      <c r="E12" s="3">
        <v>1325</v>
      </c>
      <c r="F12" s="3">
        <v>810</v>
      </c>
      <c r="G12" s="3">
        <v>793</v>
      </c>
    </row>
    <row r="13" spans="1:7" outlineLevel="1" x14ac:dyDescent="0.2">
      <c r="A13" s="1" t="s">
        <v>98</v>
      </c>
      <c r="B13" s="3">
        <v>-3245</v>
      </c>
      <c r="C13" s="3">
        <v>-3446</v>
      </c>
      <c r="D13" s="3">
        <v>-3592</v>
      </c>
      <c r="E13" s="3">
        <v>-408</v>
      </c>
      <c r="F13" s="3">
        <v>-1818</v>
      </c>
      <c r="G13" s="3">
        <v>-2291</v>
      </c>
    </row>
    <row r="14" spans="1:7" outlineLevel="1" x14ac:dyDescent="0.2">
      <c r="A14" s="1" t="s">
        <v>99</v>
      </c>
      <c r="B14" s="3">
        <v>930</v>
      </c>
      <c r="C14" s="3">
        <v>-1602</v>
      </c>
      <c r="D14" s="3">
        <v>-739</v>
      </c>
      <c r="E14" s="3">
        <v>-3359</v>
      </c>
      <c r="F14" s="3">
        <v>-463</v>
      </c>
      <c r="G14" s="3">
        <v>733</v>
      </c>
    </row>
    <row r="15" spans="1:7" outlineLevel="1" x14ac:dyDescent="0.2">
      <c r="A15" s="1" t="s">
        <v>100</v>
      </c>
      <c r="B15" s="3">
        <v>439</v>
      </c>
      <c r="C15" s="3">
        <v>-2255</v>
      </c>
      <c r="D15" s="3">
        <v>618</v>
      </c>
      <c r="E15" s="3">
        <v>-40</v>
      </c>
      <c r="F15" s="3">
        <v>851</v>
      </c>
      <c r="G15" s="3">
        <v>1991</v>
      </c>
    </row>
    <row r="16" spans="1:7" outlineLevel="1" x14ac:dyDescent="0.2">
      <c r="A16" s="2" t="s">
        <v>101</v>
      </c>
      <c r="B16" s="4">
        <v>9307</v>
      </c>
      <c r="C16" s="4">
        <v>16806</v>
      </c>
      <c r="D16" s="4">
        <v>23194</v>
      </c>
      <c r="E16" s="4">
        <v>22070</v>
      </c>
      <c r="F16" s="4">
        <v>20126</v>
      </c>
      <c r="G16" s="4">
        <v>11667</v>
      </c>
    </row>
    <row r="17" spans="1:7" outlineLevel="1" x14ac:dyDescent="0.2">
      <c r="A17" s="1" t="s">
        <v>102</v>
      </c>
      <c r="B17" s="3">
        <v>-2403</v>
      </c>
      <c r="C17" s="3">
        <v>-4411</v>
      </c>
      <c r="D17" s="3">
        <v>-5266</v>
      </c>
      <c r="E17" s="3">
        <v>-6217</v>
      </c>
      <c r="F17" s="3">
        <v>-4698</v>
      </c>
      <c r="G17" s="3">
        <v>-2843</v>
      </c>
    </row>
    <row r="18" spans="1:7" outlineLevel="1" x14ac:dyDescent="0.2">
      <c r="A18" s="1" t="s">
        <v>103</v>
      </c>
      <c r="B18" s="3">
        <v>-3837</v>
      </c>
      <c r="C18" s="3">
        <v>-5858</v>
      </c>
      <c r="D18" s="3">
        <v>-6791</v>
      </c>
      <c r="E18" s="3">
        <v>-5263</v>
      </c>
      <c r="F18" s="3">
        <v>-4612</v>
      </c>
      <c r="G18" s="3">
        <v>-3150</v>
      </c>
    </row>
    <row r="19" spans="1:7" outlineLevel="1" x14ac:dyDescent="0.2">
      <c r="A19" s="1" t="s">
        <v>104</v>
      </c>
      <c r="B19" s="3">
        <v>1434</v>
      </c>
      <c r="C19" s="3">
        <v>1447</v>
      </c>
      <c r="D19" s="3">
        <v>1526</v>
      </c>
      <c r="E19" s="3">
        <v>-954</v>
      </c>
      <c r="F19" s="3">
        <v>-86</v>
      </c>
      <c r="G19" s="3">
        <v>307</v>
      </c>
    </row>
    <row r="20" spans="1:7" outlineLevel="1" x14ac:dyDescent="0.2">
      <c r="A20" s="2" t="s">
        <v>105</v>
      </c>
      <c r="B20" s="4">
        <v>6904</v>
      </c>
      <c r="C20" s="4">
        <v>12394</v>
      </c>
      <c r="D20" s="4">
        <v>17928</v>
      </c>
      <c r="E20" s="4">
        <v>15852</v>
      </c>
      <c r="F20" s="4">
        <v>15428</v>
      </c>
      <c r="G20" s="4">
        <v>8824</v>
      </c>
    </row>
    <row r="22" spans="1:7" outlineLevel="1" x14ac:dyDescent="0.2">
      <c r="A22" s="2" t="s">
        <v>0</v>
      </c>
      <c r="B22" s="2">
        <v>2025</v>
      </c>
      <c r="C22" s="2">
        <v>2024</v>
      </c>
      <c r="D22" s="2">
        <v>2023</v>
      </c>
      <c r="E22" s="2">
        <v>2022</v>
      </c>
      <c r="F22" s="2">
        <v>2021</v>
      </c>
      <c r="G22" s="2">
        <v>2020</v>
      </c>
    </row>
    <row r="23" spans="1:7" outlineLevel="1" x14ac:dyDescent="0.2">
      <c r="A23" s="1" t="s">
        <v>106</v>
      </c>
      <c r="B23" s="3">
        <v>91474</v>
      </c>
      <c r="C23" s="3">
        <v>93333</v>
      </c>
      <c r="D23" s="3">
        <v>89109</v>
      </c>
      <c r="E23" s="3">
        <v>83241</v>
      </c>
      <c r="F23" s="3">
        <v>77689</v>
      </c>
      <c r="G23" s="3">
        <v>67968</v>
      </c>
    </row>
    <row r="24" spans="1:7" outlineLevel="1" x14ac:dyDescent="0.2">
      <c r="A24" s="1" t="s">
        <v>17</v>
      </c>
      <c r="B24" s="3">
        <v>73076</v>
      </c>
      <c r="C24" s="3">
        <v>71452</v>
      </c>
      <c r="D24" s="3">
        <v>66880</v>
      </c>
      <c r="E24" s="3">
        <v>63890</v>
      </c>
      <c r="F24" s="3">
        <v>63695</v>
      </c>
      <c r="G24" s="3">
        <v>63884</v>
      </c>
    </row>
    <row r="25" spans="1:7" outlineLevel="1" x14ac:dyDescent="0.2">
      <c r="A25" s="1" t="s">
        <v>107</v>
      </c>
      <c r="B25" s="3">
        <v>82486</v>
      </c>
      <c r="C25" s="3">
        <v>73193</v>
      </c>
      <c r="D25" s="3">
        <v>64094</v>
      </c>
      <c r="E25" s="3">
        <v>59380</v>
      </c>
      <c r="F25" s="3">
        <v>59699</v>
      </c>
      <c r="G25" s="3">
        <v>50686</v>
      </c>
    </row>
    <row r="26" spans="1:7" outlineLevel="1" x14ac:dyDescent="0.2">
      <c r="A26" s="1" t="s">
        <v>108</v>
      </c>
      <c r="B26" s="3">
        <v>609</v>
      </c>
      <c r="C26" s="3">
        <v>622</v>
      </c>
      <c r="D26" s="3">
        <v>632</v>
      </c>
      <c r="E26" s="3">
        <v>610</v>
      </c>
      <c r="F26" s="3">
        <v>615</v>
      </c>
      <c r="G26" s="3">
        <v>558</v>
      </c>
    </row>
    <row r="27" spans="1:7" outlineLevel="1" x14ac:dyDescent="0.2">
      <c r="A27" s="1" t="s">
        <v>109</v>
      </c>
      <c r="B27" s="3">
        <v>9996</v>
      </c>
      <c r="C27" s="3">
        <v>10269</v>
      </c>
      <c r="D27" s="3">
        <v>12239</v>
      </c>
      <c r="E27" s="3">
        <v>12668</v>
      </c>
      <c r="F27" s="3">
        <v>12531</v>
      </c>
      <c r="G27" s="3">
        <v>10080</v>
      </c>
    </row>
    <row r="28" spans="1:7" outlineLevel="1" x14ac:dyDescent="0.2">
      <c r="A28" s="1" t="s">
        <v>110</v>
      </c>
      <c r="B28" s="3">
        <v>7366</v>
      </c>
      <c r="C28" s="3">
        <v>5731</v>
      </c>
      <c r="D28" s="3">
        <v>4431</v>
      </c>
      <c r="E28" s="3">
        <v>3489</v>
      </c>
      <c r="F28" s="3">
        <v>3000</v>
      </c>
      <c r="G28" s="3">
        <v>1865</v>
      </c>
    </row>
    <row r="29" spans="1:7" outlineLevel="1" x14ac:dyDescent="0.2">
      <c r="A29" s="1" t="s">
        <v>111</v>
      </c>
      <c r="B29" s="3">
        <v>101230</v>
      </c>
      <c r="C29" s="3">
        <v>101087</v>
      </c>
      <c r="D29" s="3">
        <v>94474</v>
      </c>
      <c r="E29" s="3">
        <v>86944</v>
      </c>
      <c r="F29" s="3">
        <v>84954</v>
      </c>
      <c r="G29" s="3">
        <v>82565</v>
      </c>
    </row>
    <row r="30" spans="1:7" outlineLevel="1" x14ac:dyDescent="0.2">
      <c r="A30" s="1" t="s">
        <v>18</v>
      </c>
      <c r="B30" s="3">
        <v>11692</v>
      </c>
      <c r="C30" s="3">
        <v>12129</v>
      </c>
      <c r="D30" s="3">
        <v>11757</v>
      </c>
      <c r="E30" s="3">
        <v>13832</v>
      </c>
      <c r="F30" s="3">
        <v>9156</v>
      </c>
      <c r="G30" s="3">
        <v>7834</v>
      </c>
    </row>
    <row r="31" spans="1:7" outlineLevel="1" x14ac:dyDescent="0.2">
      <c r="A31" s="1" t="s">
        <v>112</v>
      </c>
      <c r="B31" s="3">
        <v>3651</v>
      </c>
      <c r="C31" s="3">
        <v>2868</v>
      </c>
      <c r="D31" s="3">
        <v>2702</v>
      </c>
      <c r="E31" s="3">
        <v>2477</v>
      </c>
      <c r="F31" s="3">
        <v>2895</v>
      </c>
      <c r="G31" s="3">
        <v>2867</v>
      </c>
    </row>
    <row r="32" spans="1:7" outlineLevel="1" x14ac:dyDescent="0.2">
      <c r="A32" s="1" t="s">
        <v>113</v>
      </c>
      <c r="B32" s="3">
        <v>411</v>
      </c>
      <c r="C32" s="3">
        <v>409</v>
      </c>
      <c r="D32" s="3">
        <v>437</v>
      </c>
      <c r="E32" s="3">
        <v>394</v>
      </c>
      <c r="F32" s="3">
        <v>635</v>
      </c>
      <c r="G32" s="3">
        <v>376</v>
      </c>
    </row>
    <row r="33" spans="1:7" outlineLevel="1" x14ac:dyDescent="0.2">
      <c r="A33" s="1" t="s">
        <v>19</v>
      </c>
      <c r="B33" s="3">
        <v>14611</v>
      </c>
      <c r="C33" s="3">
        <v>16581</v>
      </c>
      <c r="D33" s="3">
        <v>13940</v>
      </c>
      <c r="E33" s="3">
        <v>12929</v>
      </c>
      <c r="F33" s="3">
        <v>13393</v>
      </c>
      <c r="G33" s="3">
        <v>13486</v>
      </c>
    </row>
    <row r="34" spans="1:7" outlineLevel="1" x14ac:dyDescent="0.2">
      <c r="A34" s="2" t="s">
        <v>20</v>
      </c>
      <c r="B34" s="4">
        <v>396602</v>
      </c>
      <c r="C34" s="4">
        <v>387674</v>
      </c>
      <c r="D34" s="4">
        <v>360694</v>
      </c>
      <c r="E34" s="4">
        <v>339853</v>
      </c>
      <c r="F34" s="4">
        <v>328261</v>
      </c>
      <c r="G34" s="4">
        <v>302170</v>
      </c>
    </row>
    <row r="35" spans="1:7" outlineLevel="1" x14ac:dyDescent="0.2">
      <c r="A35" s="1" t="s">
        <v>21</v>
      </c>
      <c r="B35" s="3">
        <v>56042</v>
      </c>
      <c r="C35" s="3">
        <v>56720</v>
      </c>
      <c r="D35" s="3">
        <v>53601</v>
      </c>
      <c r="E35" s="3">
        <v>52274</v>
      </c>
      <c r="F35" s="3">
        <v>43725</v>
      </c>
      <c r="G35" s="3">
        <v>43823</v>
      </c>
    </row>
    <row r="36" spans="1:7" outlineLevel="1" x14ac:dyDescent="0.2">
      <c r="A36" s="1" t="s">
        <v>22</v>
      </c>
      <c r="B36" s="3">
        <v>20760</v>
      </c>
      <c r="C36" s="3">
        <v>21130</v>
      </c>
      <c r="D36" s="3">
        <v>21849</v>
      </c>
      <c r="E36" s="3">
        <v>18534</v>
      </c>
      <c r="F36" s="3">
        <v>15521</v>
      </c>
      <c r="G36" s="3">
        <v>16243</v>
      </c>
    </row>
    <row r="37" spans="1:7" outlineLevel="1" x14ac:dyDescent="0.2">
      <c r="A37" s="1" t="s">
        <v>114</v>
      </c>
      <c r="B37" s="3">
        <v>70026</v>
      </c>
      <c r="C37" s="3">
        <v>68855</v>
      </c>
      <c r="D37" s="3">
        <v>66381</v>
      </c>
      <c r="E37" s="3">
        <v>61549</v>
      </c>
      <c r="F37" s="3">
        <v>56498</v>
      </c>
      <c r="G37" s="3">
        <v>58006</v>
      </c>
    </row>
    <row r="38" spans="1:7" outlineLevel="1" x14ac:dyDescent="0.2">
      <c r="A38" s="1" t="s">
        <v>24</v>
      </c>
      <c r="B38" s="3">
        <v>20158</v>
      </c>
      <c r="C38" s="3">
        <v>18649</v>
      </c>
      <c r="D38" s="3">
        <v>16953</v>
      </c>
      <c r="E38" s="3">
        <v>15148</v>
      </c>
      <c r="F38" s="3">
        <v>12584</v>
      </c>
      <c r="G38" s="3">
        <v>13234</v>
      </c>
    </row>
    <row r="39" spans="1:7" outlineLevel="1" x14ac:dyDescent="0.2">
      <c r="A39" s="1" t="s">
        <v>115</v>
      </c>
      <c r="B39" s="3">
        <v>9881</v>
      </c>
      <c r="C39" s="3">
        <v>10217</v>
      </c>
      <c r="D39" s="3">
        <v>8799</v>
      </c>
      <c r="E39" s="3">
        <v>7813</v>
      </c>
      <c r="F39" s="3">
        <v>7473</v>
      </c>
      <c r="G39" s="3">
        <v>7381</v>
      </c>
    </row>
    <row r="40" spans="1:7" outlineLevel="1" x14ac:dyDescent="0.2">
      <c r="A40" s="1" t="s">
        <v>116</v>
      </c>
      <c r="B40" s="3">
        <v>2674</v>
      </c>
      <c r="C40" s="3">
        <v>2038</v>
      </c>
      <c r="D40" s="3">
        <v>1649</v>
      </c>
      <c r="E40" s="3">
        <v>1732</v>
      </c>
      <c r="F40" s="3">
        <v>1618</v>
      </c>
      <c r="G40" s="3">
        <v>1186</v>
      </c>
    </row>
    <row r="41" spans="1:7" outlineLevel="1" x14ac:dyDescent="0.2">
      <c r="A41" s="1" t="s">
        <v>117</v>
      </c>
      <c r="B41" s="3">
        <v>29522</v>
      </c>
      <c r="C41" s="3">
        <v>27326</v>
      </c>
      <c r="D41" s="3">
        <v>26772</v>
      </c>
      <c r="E41" s="3">
        <v>37206</v>
      </c>
      <c r="F41" s="3">
        <v>22532</v>
      </c>
      <c r="G41" s="3">
        <v>21162</v>
      </c>
    </row>
    <row r="42" spans="1:7" outlineLevel="1" x14ac:dyDescent="0.2">
      <c r="A42" s="1" t="s">
        <v>23</v>
      </c>
      <c r="B42" s="3">
        <v>38801</v>
      </c>
      <c r="C42" s="3">
        <v>40296</v>
      </c>
      <c r="D42" s="3">
        <v>43449</v>
      </c>
      <c r="E42" s="3">
        <v>29172</v>
      </c>
      <c r="F42" s="3">
        <v>39723</v>
      </c>
      <c r="G42" s="3">
        <v>33909</v>
      </c>
    </row>
    <row r="43" spans="1:7" outlineLevel="1" x14ac:dyDescent="0.2">
      <c r="A43" s="1" t="s">
        <v>26</v>
      </c>
      <c r="B43" s="3">
        <v>0</v>
      </c>
      <c r="C43" s="3">
        <v>0</v>
      </c>
      <c r="D43" s="3">
        <v>190</v>
      </c>
      <c r="E43" s="3">
        <v>733</v>
      </c>
      <c r="F43" s="3">
        <v>674</v>
      </c>
      <c r="G43" s="3">
        <v>0</v>
      </c>
    </row>
    <row r="44" spans="1:7" outlineLevel="1" x14ac:dyDescent="0.2">
      <c r="A44" s="2" t="s">
        <v>27</v>
      </c>
      <c r="B44" s="4">
        <v>247865</v>
      </c>
      <c r="C44" s="4">
        <v>245231</v>
      </c>
      <c r="D44" s="4">
        <v>239644</v>
      </c>
      <c r="E44" s="4">
        <v>224159</v>
      </c>
      <c r="F44" s="4">
        <v>200347</v>
      </c>
      <c r="G44" s="4">
        <v>194944</v>
      </c>
    </row>
    <row r="45" spans="1:7" outlineLevel="1" x14ac:dyDescent="0.2">
      <c r="A45" s="2" t="s">
        <v>28</v>
      </c>
      <c r="B45" s="4">
        <v>644467</v>
      </c>
      <c r="C45" s="4">
        <v>632905</v>
      </c>
      <c r="D45" s="4">
        <v>600338</v>
      </c>
      <c r="E45" s="4">
        <v>564013</v>
      </c>
      <c r="F45" s="4">
        <v>528609</v>
      </c>
      <c r="G45" s="4">
        <v>497114</v>
      </c>
    </row>
    <row r="46" spans="1:7" outlineLevel="1" x14ac:dyDescent="0.2">
      <c r="A46" s="1" t="s">
        <v>118</v>
      </c>
      <c r="B46" s="3">
        <v>1283</v>
      </c>
      <c r="C46" s="3">
        <v>1283</v>
      </c>
      <c r="D46" s="3">
        <v>1283</v>
      </c>
      <c r="E46" s="3">
        <v>1283</v>
      </c>
      <c r="F46" s="3">
        <v>1283</v>
      </c>
      <c r="G46" s="3">
        <v>1283</v>
      </c>
    </row>
    <row r="47" spans="1:7" outlineLevel="1" x14ac:dyDescent="0.2">
      <c r="A47" s="1" t="s">
        <v>29</v>
      </c>
      <c r="B47" s="3">
        <v>14551</v>
      </c>
      <c r="C47" s="3">
        <v>14551</v>
      </c>
      <c r="D47" s="3">
        <v>14551</v>
      </c>
      <c r="E47" s="3">
        <v>14551</v>
      </c>
      <c r="F47" s="3">
        <v>14551</v>
      </c>
      <c r="G47" s="3">
        <v>14551</v>
      </c>
    </row>
    <row r="48" spans="1:7" outlineLevel="1" x14ac:dyDescent="0.2">
      <c r="A48" s="1" t="s">
        <v>30</v>
      </c>
      <c r="B48" s="3">
        <v>161357</v>
      </c>
      <c r="C48" s="3">
        <v>155130</v>
      </c>
      <c r="D48" s="3">
        <v>147830</v>
      </c>
      <c r="E48" s="3">
        <v>137272</v>
      </c>
      <c r="F48" s="3">
        <v>117342</v>
      </c>
      <c r="G48" s="3">
        <v>100772</v>
      </c>
    </row>
    <row r="49" spans="1:7" outlineLevel="1" x14ac:dyDescent="0.2">
      <c r="A49" s="1" t="s">
        <v>31</v>
      </c>
      <c r="B49" s="3">
        <v>-3190</v>
      </c>
      <c r="C49" s="3">
        <v>-2560</v>
      </c>
      <c r="D49" s="3">
        <v>-3125</v>
      </c>
      <c r="E49" s="3">
        <v>-1851</v>
      </c>
      <c r="F49" s="3">
        <v>-3167</v>
      </c>
      <c r="G49" s="3">
        <v>-5270</v>
      </c>
    </row>
    <row r="50" spans="1:7" outlineLevel="1" x14ac:dyDescent="0.2">
      <c r="A50" s="1" t="s">
        <v>149</v>
      </c>
      <c r="B50" s="3">
        <v>14275</v>
      </c>
      <c r="C50" s="3">
        <v>13890</v>
      </c>
      <c r="D50" s="3">
        <v>15155</v>
      </c>
      <c r="E50" s="3">
        <v>14121</v>
      </c>
      <c r="F50" s="3">
        <v>14439</v>
      </c>
      <c r="G50" s="3">
        <v>15713</v>
      </c>
    </row>
    <row r="51" spans="1:7" outlineLevel="1" x14ac:dyDescent="0.2">
      <c r="A51" s="1" t="s">
        <v>119</v>
      </c>
      <c r="B51" s="3">
        <v>188277</v>
      </c>
      <c r="C51" s="3">
        <v>182294</v>
      </c>
      <c r="D51" s="3">
        <v>175694</v>
      </c>
      <c r="E51" s="3">
        <v>165376</v>
      </c>
      <c r="F51" s="3">
        <v>144449</v>
      </c>
      <c r="G51" s="3">
        <v>127049</v>
      </c>
    </row>
    <row r="52" spans="1:7" outlineLevel="1" x14ac:dyDescent="0.2">
      <c r="A52" s="1" t="s">
        <v>16</v>
      </c>
      <c r="B52" s="3">
        <v>14777</v>
      </c>
      <c r="C52" s="3">
        <v>14437</v>
      </c>
      <c r="D52" s="3">
        <v>14218</v>
      </c>
      <c r="E52" s="3">
        <v>12952</v>
      </c>
      <c r="F52" s="3">
        <v>1705</v>
      </c>
      <c r="G52" s="3">
        <v>1734</v>
      </c>
    </row>
    <row r="53" spans="1:7" outlineLevel="1" x14ac:dyDescent="0.2">
      <c r="A53" s="2" t="s">
        <v>33</v>
      </c>
      <c r="B53" s="4">
        <v>203054</v>
      </c>
      <c r="C53" s="4">
        <v>196731</v>
      </c>
      <c r="D53" s="4">
        <v>189912</v>
      </c>
      <c r="E53" s="4">
        <v>178328</v>
      </c>
      <c r="F53" s="4">
        <v>146154</v>
      </c>
      <c r="G53" s="4">
        <v>128783</v>
      </c>
    </row>
    <row r="54" spans="1:7" outlineLevel="1" x14ac:dyDescent="0.2">
      <c r="A54" s="1" t="s">
        <v>120</v>
      </c>
      <c r="B54" s="3">
        <v>137214</v>
      </c>
      <c r="C54" s="3">
        <v>137061</v>
      </c>
      <c r="D54" s="3">
        <v>122323</v>
      </c>
      <c r="E54" s="3">
        <v>121737</v>
      </c>
      <c r="F54" s="3">
        <v>131618</v>
      </c>
      <c r="G54" s="3">
        <v>114809</v>
      </c>
    </row>
    <row r="55" spans="1:7" outlineLevel="1" x14ac:dyDescent="0.2">
      <c r="A55" s="1" t="s">
        <v>36</v>
      </c>
      <c r="B55" s="3">
        <v>6422</v>
      </c>
      <c r="C55" s="3">
        <v>6548</v>
      </c>
      <c r="D55" s="3">
        <v>6968</v>
      </c>
      <c r="E55" s="3">
        <v>8188</v>
      </c>
      <c r="F55" s="3">
        <v>4466</v>
      </c>
      <c r="G55" s="3">
        <v>4257</v>
      </c>
    </row>
    <row r="56" spans="1:7" outlineLevel="1" x14ac:dyDescent="0.2">
      <c r="A56" s="1" t="s">
        <v>40</v>
      </c>
      <c r="B56" s="3">
        <v>11420</v>
      </c>
      <c r="C56" s="3">
        <v>10584</v>
      </c>
      <c r="D56" s="3">
        <v>9885</v>
      </c>
      <c r="E56" s="3">
        <v>9144</v>
      </c>
      <c r="F56" s="3">
        <v>8430</v>
      </c>
      <c r="G56" s="3">
        <v>7905</v>
      </c>
    </row>
    <row r="57" spans="1:7" outlineLevel="1" x14ac:dyDescent="0.2">
      <c r="A57" s="1" t="s">
        <v>37</v>
      </c>
      <c r="B57" s="3">
        <v>9963</v>
      </c>
      <c r="C57" s="3">
        <v>10900</v>
      </c>
      <c r="D57" s="3">
        <v>9781</v>
      </c>
      <c r="E57" s="3">
        <v>10736</v>
      </c>
      <c r="F57" s="3">
        <v>5131</v>
      </c>
      <c r="G57" s="3">
        <v>4890</v>
      </c>
    </row>
    <row r="58" spans="1:7" outlineLevel="1" x14ac:dyDescent="0.2">
      <c r="A58" s="1" t="s">
        <v>121</v>
      </c>
      <c r="B58" s="3">
        <v>22826</v>
      </c>
      <c r="C58" s="3">
        <v>27602</v>
      </c>
      <c r="D58" s="3">
        <v>29672</v>
      </c>
      <c r="E58" s="3">
        <v>27553</v>
      </c>
      <c r="F58" s="3">
        <v>41550</v>
      </c>
      <c r="G58" s="3">
        <v>45081</v>
      </c>
    </row>
    <row r="59" spans="1:7" outlineLevel="1" x14ac:dyDescent="0.2">
      <c r="A59" s="1" t="s">
        <v>122</v>
      </c>
      <c r="B59" s="3">
        <v>3367</v>
      </c>
      <c r="C59" s="3">
        <v>4084</v>
      </c>
      <c r="D59" s="3">
        <v>4287</v>
      </c>
      <c r="E59" s="3">
        <v>4320</v>
      </c>
      <c r="F59" s="3">
        <v>3392</v>
      </c>
      <c r="G59" s="3">
        <v>3292</v>
      </c>
    </row>
    <row r="60" spans="1:7" outlineLevel="1" x14ac:dyDescent="0.2">
      <c r="A60" s="1" t="s">
        <v>123</v>
      </c>
      <c r="B60" s="3">
        <v>23676</v>
      </c>
      <c r="C60" s="3">
        <v>22355</v>
      </c>
      <c r="D60" s="3">
        <v>21636</v>
      </c>
      <c r="E60" s="3">
        <v>21283</v>
      </c>
      <c r="F60" s="3">
        <v>23474</v>
      </c>
      <c r="G60" s="3">
        <v>22688</v>
      </c>
    </row>
    <row r="61" spans="1:7" outlineLevel="1" x14ac:dyDescent="0.2">
      <c r="A61" s="2" t="s">
        <v>41</v>
      </c>
      <c r="B61" s="4">
        <v>214887</v>
      </c>
      <c r="C61" s="4">
        <v>219134</v>
      </c>
      <c r="D61" s="4">
        <v>204552</v>
      </c>
      <c r="E61" s="4">
        <v>202961</v>
      </c>
      <c r="F61" s="4">
        <v>218062</v>
      </c>
      <c r="G61" s="4">
        <v>202921</v>
      </c>
    </row>
    <row r="62" spans="1:7" outlineLevel="1" x14ac:dyDescent="0.2">
      <c r="A62" s="1" t="s">
        <v>124</v>
      </c>
      <c r="B62" s="3">
        <v>127489</v>
      </c>
      <c r="C62" s="3">
        <v>117020</v>
      </c>
      <c r="D62" s="3">
        <v>110476</v>
      </c>
      <c r="E62" s="3">
        <v>83448</v>
      </c>
      <c r="F62" s="3">
        <v>78584</v>
      </c>
      <c r="G62" s="3">
        <v>88648</v>
      </c>
    </row>
    <row r="63" spans="1:7" outlineLevel="1" x14ac:dyDescent="0.2">
      <c r="A63" s="1" t="s">
        <v>42</v>
      </c>
      <c r="B63" s="3">
        <v>30490</v>
      </c>
      <c r="C63" s="3">
        <v>29772</v>
      </c>
      <c r="D63" s="3">
        <v>30901</v>
      </c>
      <c r="E63" s="3">
        <v>28738</v>
      </c>
      <c r="F63" s="3">
        <v>23624</v>
      </c>
      <c r="G63" s="3">
        <v>22677</v>
      </c>
    </row>
    <row r="64" spans="1:7" outlineLevel="1" x14ac:dyDescent="0.2">
      <c r="A64" s="1" t="s">
        <v>125</v>
      </c>
      <c r="B64" s="3">
        <v>497</v>
      </c>
      <c r="C64" s="3">
        <v>724</v>
      </c>
      <c r="D64" s="3">
        <v>556</v>
      </c>
      <c r="E64" s="3">
        <v>726</v>
      </c>
      <c r="F64" s="3">
        <v>614</v>
      </c>
      <c r="G64" s="3">
        <v>340</v>
      </c>
    </row>
    <row r="65" spans="1:7" outlineLevel="1" x14ac:dyDescent="0.2">
      <c r="A65" s="1" t="s">
        <v>45</v>
      </c>
      <c r="B65" s="3">
        <v>13643</v>
      </c>
      <c r="C65" s="3">
        <v>14364</v>
      </c>
      <c r="D65" s="3">
        <v>14022</v>
      </c>
      <c r="E65" s="3">
        <v>19807</v>
      </c>
      <c r="F65" s="3">
        <v>13002</v>
      </c>
      <c r="G65" s="3">
        <v>10590</v>
      </c>
    </row>
    <row r="66" spans="1:7" outlineLevel="1" x14ac:dyDescent="0.2">
      <c r="A66" s="1" t="s">
        <v>47</v>
      </c>
      <c r="B66" s="3">
        <v>24427</v>
      </c>
      <c r="C66" s="3">
        <v>24752</v>
      </c>
      <c r="D66" s="3">
        <v>24345</v>
      </c>
      <c r="E66" s="3">
        <v>22665</v>
      </c>
      <c r="F66" s="3">
        <v>19890</v>
      </c>
      <c r="G66" s="3">
        <v>17979</v>
      </c>
    </row>
    <row r="67" spans="1:7" outlineLevel="1" x14ac:dyDescent="0.2">
      <c r="A67" s="1" t="s">
        <v>122</v>
      </c>
      <c r="B67" s="3">
        <v>1986</v>
      </c>
      <c r="C67" s="3">
        <v>1698</v>
      </c>
      <c r="D67" s="3">
        <v>1663</v>
      </c>
      <c r="E67" s="3">
        <v>2586</v>
      </c>
      <c r="F67" s="3">
        <v>2863</v>
      </c>
      <c r="G67" s="3">
        <v>2213</v>
      </c>
    </row>
    <row r="68" spans="1:7" outlineLevel="1" x14ac:dyDescent="0.2">
      <c r="A68" s="1" t="s">
        <v>123</v>
      </c>
      <c r="B68" s="3">
        <v>27993</v>
      </c>
      <c r="C68" s="3">
        <v>28709</v>
      </c>
      <c r="D68" s="3">
        <v>23881</v>
      </c>
      <c r="E68" s="3">
        <v>24596</v>
      </c>
      <c r="F68" s="3">
        <v>25578</v>
      </c>
      <c r="G68" s="3">
        <v>22964</v>
      </c>
    </row>
    <row r="69" spans="1:7" outlineLevel="1" x14ac:dyDescent="0.2">
      <c r="A69" s="1" t="s">
        <v>48</v>
      </c>
      <c r="B69" s="3">
        <v>0</v>
      </c>
      <c r="C69" s="3">
        <v>0</v>
      </c>
      <c r="D69" s="3">
        <v>31</v>
      </c>
      <c r="E69" s="3">
        <v>158</v>
      </c>
      <c r="F69" s="3">
        <v>238</v>
      </c>
      <c r="G69" s="3">
        <v>0</v>
      </c>
    </row>
    <row r="70" spans="1:7" outlineLevel="1" x14ac:dyDescent="0.2">
      <c r="A70" s="2" t="s">
        <v>49</v>
      </c>
      <c r="B70" s="4">
        <v>226525</v>
      </c>
      <c r="C70" s="4">
        <v>217039</v>
      </c>
      <c r="D70" s="4">
        <v>205874</v>
      </c>
      <c r="E70" s="4">
        <v>182723</v>
      </c>
      <c r="F70" s="4">
        <v>164393</v>
      </c>
      <c r="G70" s="4">
        <v>165410</v>
      </c>
    </row>
    <row r="71" spans="1:7" outlineLevel="1" x14ac:dyDescent="0.2">
      <c r="A71" s="2" t="s">
        <v>50</v>
      </c>
      <c r="B71" s="4">
        <v>441412</v>
      </c>
      <c r="C71" s="4">
        <v>436173</v>
      </c>
      <c r="D71" s="4">
        <v>410426</v>
      </c>
      <c r="E71" s="4">
        <v>385684</v>
      </c>
      <c r="F71" s="4">
        <v>382455</v>
      </c>
      <c r="G71" s="4">
        <v>368331</v>
      </c>
    </row>
    <row r="72" spans="1:7" outlineLevel="1" x14ac:dyDescent="0.2">
      <c r="A72" s="2" t="s">
        <v>51</v>
      </c>
      <c r="B72" s="4">
        <v>644467</v>
      </c>
      <c r="C72" s="4">
        <v>632905</v>
      </c>
      <c r="D72" s="4">
        <v>600338</v>
      </c>
      <c r="E72" s="4">
        <v>564013</v>
      </c>
      <c r="F72" s="4">
        <v>528609</v>
      </c>
      <c r="G72" s="4">
        <v>497114</v>
      </c>
    </row>
    <row r="76" spans="1:7" x14ac:dyDescent="0.2">
      <c r="A76" s="2" t="s">
        <v>173</v>
      </c>
    </row>
    <row r="77" spans="1:7" x14ac:dyDescent="0.2">
      <c r="A77" s="1" t="s">
        <v>54</v>
      </c>
      <c r="B77" s="3">
        <f>B58+B59+B60+B67+B68</f>
        <v>79848</v>
      </c>
      <c r="C77" s="3">
        <f t="shared" ref="C77:G77" si="0">C58+C59+C60+C67+C68</f>
        <v>84448</v>
      </c>
      <c r="D77" s="3">
        <f t="shared" si="0"/>
        <v>81139</v>
      </c>
      <c r="E77" s="3">
        <f t="shared" si="0"/>
        <v>80338</v>
      </c>
      <c r="F77" s="3">
        <f t="shared" si="0"/>
        <v>96857</v>
      </c>
      <c r="G77" s="3">
        <f t="shared" si="0"/>
        <v>96238</v>
      </c>
    </row>
    <row r="78" spans="1:7" x14ac:dyDescent="0.2">
      <c r="A78" s="1" t="s">
        <v>169</v>
      </c>
      <c r="B78" s="3">
        <f>B54+B62</f>
        <v>264703</v>
      </c>
      <c r="C78" s="3">
        <f t="shared" ref="C78:G78" si="1">C54+C62</f>
        <v>254081</v>
      </c>
      <c r="D78" s="3">
        <f t="shared" si="1"/>
        <v>232799</v>
      </c>
      <c r="E78" s="3">
        <f t="shared" si="1"/>
        <v>205185</v>
      </c>
      <c r="F78" s="3">
        <f t="shared" si="1"/>
        <v>210202</v>
      </c>
      <c r="G78" s="3">
        <f t="shared" si="1"/>
        <v>203457</v>
      </c>
    </row>
    <row r="79" spans="1:7" x14ac:dyDescent="0.2">
      <c r="A79" s="1" t="s">
        <v>170</v>
      </c>
      <c r="B79" s="3">
        <f>B55+B56+B57+B64+B65+B66+B69</f>
        <v>66372</v>
      </c>
      <c r="C79" s="3">
        <f t="shared" ref="C79:G79" si="2">C55+C56+C57+C64+C65+C66+C69</f>
        <v>67872</v>
      </c>
      <c r="D79" s="3">
        <f t="shared" si="2"/>
        <v>65588</v>
      </c>
      <c r="E79" s="3">
        <f t="shared" si="2"/>
        <v>71424</v>
      </c>
      <c r="F79" s="3">
        <f t="shared" si="2"/>
        <v>51771</v>
      </c>
      <c r="G79" s="3">
        <f t="shared" si="2"/>
        <v>45961</v>
      </c>
    </row>
    <row r="80" spans="1:7" x14ac:dyDescent="0.2">
      <c r="B80" s="3"/>
      <c r="C80" s="3"/>
      <c r="D80" s="3"/>
      <c r="E80" s="3"/>
      <c r="F80" s="3"/>
      <c r="G80" s="3"/>
    </row>
    <row r="81" spans="1:7" x14ac:dyDescent="0.2">
      <c r="A81" s="1" t="s">
        <v>163</v>
      </c>
      <c r="B81" s="3">
        <f>B24+B25</f>
        <v>155562</v>
      </c>
      <c r="C81" s="3">
        <f t="shared" ref="C81:G81" si="3">C24+C25</f>
        <v>144645</v>
      </c>
      <c r="D81" s="3">
        <f t="shared" si="3"/>
        <v>130974</v>
      </c>
      <c r="E81" s="3">
        <f t="shared" si="3"/>
        <v>123270</v>
      </c>
      <c r="F81" s="3">
        <f t="shared" si="3"/>
        <v>123394</v>
      </c>
      <c r="G81" s="3">
        <f t="shared" si="3"/>
        <v>114570</v>
      </c>
    </row>
    <row r="83" spans="1:7" x14ac:dyDescent="0.2">
      <c r="A83" s="1" t="s">
        <v>132</v>
      </c>
      <c r="B83" s="3">
        <f>B26+B27+B28+B29</f>
        <v>119201</v>
      </c>
      <c r="C83" s="3">
        <f t="shared" ref="C83:G83" si="4">C26+C27+C28+C29</f>
        <v>117709</v>
      </c>
      <c r="D83" s="3">
        <f t="shared" si="4"/>
        <v>111776</v>
      </c>
      <c r="E83" s="3">
        <f t="shared" si="4"/>
        <v>103711</v>
      </c>
      <c r="F83" s="3">
        <f t="shared" si="4"/>
        <v>101100</v>
      </c>
      <c r="G83" s="3">
        <f t="shared" si="4"/>
        <v>95068</v>
      </c>
    </row>
    <row r="84" spans="1:7" x14ac:dyDescent="0.2">
      <c r="A84" s="1" t="s">
        <v>164</v>
      </c>
      <c r="B84" s="3">
        <f>B30+B31+B32+B33</f>
        <v>30365</v>
      </c>
      <c r="C84" s="3">
        <f t="shared" ref="C84:G84" si="5">C30+C31+C32+C33</f>
        <v>31987</v>
      </c>
      <c r="D84" s="3">
        <f t="shared" si="5"/>
        <v>28836</v>
      </c>
      <c r="E84" s="3">
        <f t="shared" si="5"/>
        <v>29632</v>
      </c>
      <c r="F84" s="3">
        <f t="shared" si="5"/>
        <v>26079</v>
      </c>
      <c r="G84" s="3">
        <f t="shared" si="5"/>
        <v>24563</v>
      </c>
    </row>
    <row r="85" spans="1:7" x14ac:dyDescent="0.2">
      <c r="A85" s="1" t="s">
        <v>161</v>
      </c>
      <c r="B85" s="3">
        <f>B38+B39+B40+B41+B43</f>
        <v>62235</v>
      </c>
      <c r="C85" s="3">
        <f t="shared" ref="C85:G85" si="6">C38+C39+C40+C41+C43</f>
        <v>58230</v>
      </c>
      <c r="D85" s="3">
        <f t="shared" si="6"/>
        <v>54363</v>
      </c>
      <c r="E85" s="3">
        <f t="shared" si="6"/>
        <v>62632</v>
      </c>
      <c r="F85" s="3">
        <f t="shared" si="6"/>
        <v>44881</v>
      </c>
      <c r="G85" s="3">
        <f t="shared" si="6"/>
        <v>42963</v>
      </c>
    </row>
    <row r="86" spans="1:7" x14ac:dyDescent="0.2">
      <c r="A86" s="2" t="s">
        <v>196</v>
      </c>
      <c r="B86" s="4">
        <f>(B45+C45)/2</f>
        <v>638686</v>
      </c>
      <c r="C86" s="4">
        <f t="shared" ref="C86:F86" si="7">(C45+D45)/2</f>
        <v>616621.5</v>
      </c>
      <c r="D86" s="4">
        <f t="shared" si="7"/>
        <v>582175.5</v>
      </c>
      <c r="E86" s="4">
        <f t="shared" si="7"/>
        <v>546311</v>
      </c>
      <c r="F86" s="4">
        <f t="shared" si="7"/>
        <v>512861.5</v>
      </c>
      <c r="G8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C582-50F1-4574-AF68-EA92E491B733}">
  <sheetPr>
    <tabColor theme="0" tint="-0.249977111117893"/>
  </sheetPr>
  <dimension ref="A1:S42"/>
  <sheetViews>
    <sheetView workbookViewId="0">
      <selection activeCell="B26" sqref="B26"/>
    </sheetView>
  </sheetViews>
  <sheetFormatPr defaultRowHeight="12.75" x14ac:dyDescent="0.2"/>
  <cols>
    <col min="1" max="1" width="43.5703125" style="1" bestFit="1" customWidth="1"/>
    <col min="2" max="2" width="7.140625" style="1" bestFit="1" customWidth="1"/>
    <col min="3" max="3" width="9.7109375" style="1" bestFit="1" customWidth="1"/>
    <col min="4" max="4" width="12" style="1" bestFit="1" customWidth="1"/>
    <col min="5" max="5" width="7.5703125" style="1" bestFit="1" customWidth="1"/>
    <col min="6" max="6" width="9.7109375" style="1" bestFit="1" customWidth="1"/>
    <col min="7" max="7" width="12" style="1" bestFit="1" customWidth="1"/>
    <col min="8" max="8" width="7.5703125" style="1" bestFit="1" customWidth="1"/>
    <col min="9" max="9" width="9.7109375" style="1" bestFit="1" customWidth="1"/>
    <col min="10" max="10" width="12" style="1" bestFit="1" customWidth="1"/>
    <col min="11" max="11" width="7.140625" style="1" bestFit="1" customWidth="1"/>
    <col min="12" max="12" width="9.7109375" style="1" bestFit="1" customWidth="1"/>
    <col min="13" max="13" width="12" style="1" bestFit="1" customWidth="1"/>
    <col min="14" max="14" width="7.140625" style="1" bestFit="1" customWidth="1"/>
    <col min="15" max="15" width="9.7109375" style="1" bestFit="1" customWidth="1"/>
    <col min="16" max="16" width="12" style="1" bestFit="1" customWidth="1"/>
    <col min="17" max="18" width="9.140625" style="1"/>
    <col min="19" max="19" width="12" style="1" bestFit="1" customWidth="1"/>
    <col min="20" max="16384" width="9.140625" style="1"/>
  </cols>
  <sheetData>
    <row r="1" spans="1:19" x14ac:dyDescent="0.2">
      <c r="C1"/>
    </row>
    <row r="2" spans="1:19" x14ac:dyDescent="0.2">
      <c r="A2" s="5" t="s">
        <v>153</v>
      </c>
      <c r="B2" s="44">
        <v>2025</v>
      </c>
      <c r="C2" s="44"/>
      <c r="D2" s="44"/>
      <c r="E2" s="44">
        <v>2024</v>
      </c>
      <c r="F2" s="44"/>
      <c r="G2" s="44"/>
      <c r="H2" s="44">
        <v>2023</v>
      </c>
      <c r="I2" s="44"/>
      <c r="J2" s="44"/>
      <c r="K2" s="44">
        <v>2022</v>
      </c>
      <c r="L2" s="44"/>
      <c r="M2" s="44"/>
      <c r="N2" s="44">
        <v>2021</v>
      </c>
      <c r="O2" s="44"/>
      <c r="P2" s="44"/>
      <c r="Q2" s="44">
        <v>2020</v>
      </c>
      <c r="R2" s="44"/>
      <c r="S2" s="44"/>
    </row>
    <row r="3" spans="1:19" x14ac:dyDescent="0.2">
      <c r="A3" s="5" t="s">
        <v>0</v>
      </c>
      <c r="B3" s="13" t="s">
        <v>150</v>
      </c>
      <c r="C3" s="14" t="s">
        <v>151</v>
      </c>
      <c r="D3" s="14" t="s">
        <v>152</v>
      </c>
      <c r="E3" s="13" t="s">
        <v>150</v>
      </c>
      <c r="F3" s="14" t="s">
        <v>151</v>
      </c>
      <c r="G3" s="13" t="s">
        <v>152</v>
      </c>
      <c r="H3" s="14" t="s">
        <v>150</v>
      </c>
      <c r="I3" s="13" t="s">
        <v>151</v>
      </c>
      <c r="J3" s="13" t="s">
        <v>152</v>
      </c>
      <c r="K3" s="14" t="s">
        <v>150</v>
      </c>
      <c r="L3" s="13" t="s">
        <v>151</v>
      </c>
      <c r="M3" s="13" t="s">
        <v>152</v>
      </c>
      <c r="N3" s="14" t="s">
        <v>150</v>
      </c>
      <c r="O3" s="14" t="s">
        <v>151</v>
      </c>
      <c r="P3" s="14" t="s">
        <v>152</v>
      </c>
      <c r="Q3" s="14" t="s">
        <v>150</v>
      </c>
      <c r="R3" s="14" t="s">
        <v>151</v>
      </c>
      <c r="S3" s="14" t="s">
        <v>152</v>
      </c>
    </row>
    <row r="4" spans="1:19" x14ac:dyDescent="0.2">
      <c r="A4" s="6" t="s">
        <v>126</v>
      </c>
      <c r="B4" s="8">
        <f>'01_Raw_Data_BMW'!B3</f>
        <v>98805</v>
      </c>
      <c r="C4" s="8">
        <f>'01_Raw_Data_Mercedes'!B3</f>
        <v>132214</v>
      </c>
      <c r="D4" s="8">
        <f>'01_Raw_Data_Volkswagen'!B3</f>
        <v>321913</v>
      </c>
      <c r="E4" s="11">
        <f>'01_Raw_Data_BMW'!C3</f>
        <v>105317</v>
      </c>
      <c r="F4" s="8">
        <f>'01_Raw_Data_Mercedes'!C3</f>
        <v>145594</v>
      </c>
      <c r="G4" s="11">
        <f>'01_Raw_Data_Volkswagen'!C3</f>
        <v>324656</v>
      </c>
      <c r="H4" s="8">
        <f>'01_Raw_Data_BMW'!D3</f>
        <v>107874</v>
      </c>
      <c r="I4" s="11">
        <f>'01_Raw_Data_Mercedes'!D3</f>
        <v>153218</v>
      </c>
      <c r="J4" s="11">
        <f>'01_Raw_Data_Volkswagen'!D3</f>
        <v>322284</v>
      </c>
      <c r="K4" s="8">
        <f>'01_Raw_Data_BMW'!E3</f>
        <v>98807</v>
      </c>
      <c r="L4" s="11">
        <f>'01_Raw_Data_Mercedes'!E3</f>
        <v>150017</v>
      </c>
      <c r="M4" s="11">
        <f>'01_Raw_Data_Volkswagen'!E3</f>
        <v>279050</v>
      </c>
      <c r="N4" s="8">
        <f>'01_Raw_Data_BMW'!F3</f>
        <v>88526</v>
      </c>
      <c r="O4" s="11">
        <f>'01_Raw_Data_Mercedes'!F3</f>
        <v>133893</v>
      </c>
      <c r="P4" s="11">
        <f>'01_Raw_Data_Volkswagen'!F3</f>
        <v>250200</v>
      </c>
      <c r="Q4" s="8">
        <f>'01_Raw_Data_BMW'!G3</f>
        <v>75040</v>
      </c>
      <c r="R4" s="8">
        <f>'01_Raw_Data_Mercedes'!G3</f>
        <v>121778</v>
      </c>
      <c r="S4" s="8">
        <f>'01_Raw_Data_Volkswagen'!G3</f>
        <v>222884</v>
      </c>
    </row>
    <row r="5" spans="1:19" x14ac:dyDescent="0.2">
      <c r="A5" s="6" t="s">
        <v>154</v>
      </c>
      <c r="B5" s="8">
        <f>'01_Raw_Data_BMW'!B4</f>
        <v>-83907</v>
      </c>
      <c r="C5" s="8">
        <f>'01_Raw_Data_Mercedes'!B4</f>
        <v>-109881</v>
      </c>
      <c r="D5" s="8">
        <f>'01_Raw_Data_Volkswagen'!B4</f>
        <v>-270671</v>
      </c>
      <c r="E5" s="11">
        <f>'01_Raw_Data_BMW'!C4</f>
        <v>-88214</v>
      </c>
      <c r="F5" s="8">
        <f>'01_Raw_Data_Mercedes'!C4</f>
        <v>-117018</v>
      </c>
      <c r="G5" s="11">
        <f>'01_Raw_Data_Volkswagen'!C4</f>
        <v>-265184</v>
      </c>
      <c r="H5" s="8">
        <f>'01_Raw_Data_BMW'!D4</f>
        <v>-90865</v>
      </c>
      <c r="I5" s="11">
        <f>'01_Raw_Data_Mercedes'!D4</f>
        <v>-118839</v>
      </c>
      <c r="J5" s="11">
        <f>'01_Raw_Data_Volkswagen'!D4</f>
        <v>-261262</v>
      </c>
      <c r="K5" s="8">
        <f>'01_Raw_Data_BMW'!E4</f>
        <v>-81653</v>
      </c>
      <c r="L5" s="11">
        <f>'01_Raw_Data_Mercedes'!E4</f>
        <v>-115997</v>
      </c>
      <c r="M5" s="11">
        <f>'01_Raw_Data_Volkswagen'!E4</f>
        <v>-226866</v>
      </c>
      <c r="N5" s="8">
        <f>'01_Raw_Data_BMW'!F4</f>
        <v>-72283</v>
      </c>
      <c r="O5" s="11">
        <f>'01_Raw_Data_Mercedes'!F4</f>
        <v>-103218</v>
      </c>
      <c r="P5" s="11">
        <f>'01_Raw_Data_Volkswagen'!F4</f>
        <v>-202959</v>
      </c>
      <c r="Q5" s="8">
        <f>'01_Raw_Data_BMW'!G4</f>
        <v>-63726</v>
      </c>
      <c r="R5" s="8">
        <f>'01_Raw_Data_Mercedes'!G4</f>
        <v>-101592</v>
      </c>
      <c r="S5" s="8">
        <f>'01_Raw_Data_Volkswagen'!G4</f>
        <v>-183937</v>
      </c>
    </row>
    <row r="6" spans="1:19" x14ac:dyDescent="0.2">
      <c r="A6" s="15" t="s">
        <v>155</v>
      </c>
      <c r="B6" s="16">
        <f>'01_Raw_Data_BMW'!B5</f>
        <v>14898</v>
      </c>
      <c r="C6" s="16">
        <f>'01_Raw_Data_Mercedes'!B5</f>
        <v>22333</v>
      </c>
      <c r="D6" s="16">
        <f>'01_Raw_Data_Volkswagen'!B5</f>
        <v>51243</v>
      </c>
      <c r="E6" s="17">
        <f>'01_Raw_Data_BMW'!C5</f>
        <v>17103</v>
      </c>
      <c r="F6" s="16">
        <f>'01_Raw_Data_Mercedes'!C5</f>
        <v>28576</v>
      </c>
      <c r="G6" s="17">
        <f>'01_Raw_Data_Volkswagen'!C5</f>
        <v>59472</v>
      </c>
      <c r="H6" s="16">
        <f>'01_Raw_Data_BMW'!D5</f>
        <v>17009</v>
      </c>
      <c r="I6" s="17">
        <f>'01_Raw_Data_Mercedes'!D5</f>
        <v>34379</v>
      </c>
      <c r="J6" s="17">
        <f>'01_Raw_Data_Volkswagen'!D5</f>
        <v>61022</v>
      </c>
      <c r="K6" s="16">
        <f>'01_Raw_Data_BMW'!E5</f>
        <v>17154</v>
      </c>
      <c r="L6" s="17">
        <f>'01_Raw_Data_Mercedes'!E5</f>
        <v>34020</v>
      </c>
      <c r="M6" s="17">
        <f>'01_Raw_Data_Volkswagen'!E5</f>
        <v>52184</v>
      </c>
      <c r="N6" s="16">
        <f>'01_Raw_Data_BMW'!F5</f>
        <v>16243</v>
      </c>
      <c r="O6" s="17">
        <f>'01_Raw_Data_Mercedes'!F5</f>
        <v>30675</v>
      </c>
      <c r="P6" s="17">
        <f>'01_Raw_Data_Volkswagen'!F5</f>
        <v>47241</v>
      </c>
      <c r="Q6" s="16">
        <f>'01_Raw_Data_BMW'!G5</f>
        <v>11314</v>
      </c>
      <c r="R6" s="16">
        <f>'01_Raw_Data_Mercedes'!G5</f>
        <v>20186</v>
      </c>
      <c r="S6" s="16">
        <f>'01_Raw_Data_Volkswagen'!G5</f>
        <v>38947</v>
      </c>
    </row>
    <row r="7" spans="1:19" x14ac:dyDescent="0.2">
      <c r="A7" s="7" t="s">
        <v>158</v>
      </c>
      <c r="B7" s="9">
        <f>SUM('01_Raw_Data_BMW'!B6:B10)</f>
        <v>-15171</v>
      </c>
      <c r="C7" s="9">
        <f>SUM('01_Raw_Data_Mercedes'!B6:B10)</f>
        <v>-17724</v>
      </c>
      <c r="D7" s="9">
        <f>SUM('01_Raw_Data_Volkswagen'!B6:B9)</f>
        <v>-42374</v>
      </c>
      <c r="E7" s="12">
        <f>SUM('01_Raw_Data_BMW'!C6:C10)</f>
        <v>-16535</v>
      </c>
      <c r="F7" s="9">
        <f>SUM('01_Raw_Data_Mercedes'!C6:C10)</f>
        <v>-16078</v>
      </c>
      <c r="G7" s="12">
        <f>SUM('01_Raw_Data_Volkswagen'!C6:C9)</f>
        <v>-40412</v>
      </c>
      <c r="H7" s="9">
        <f>SUM('01_Raw_Data_BMW'!D6:D10)</f>
        <v>-15066</v>
      </c>
      <c r="I7" s="12">
        <f>SUM('01_Raw_Data_Mercedes'!D6:D10)</f>
        <v>-16956</v>
      </c>
      <c r="J7" s="12">
        <f>SUM('01_Raw_Data_Volkswagen'!D6:D9)</f>
        <v>-38446</v>
      </c>
      <c r="K7" s="9">
        <f>SUM('01_Raw_Data_BMW'!E6:E10)</f>
        <v>-14824</v>
      </c>
      <c r="L7" s="12">
        <f>SUM('01_Raw_Data_Mercedes'!E6:E10)</f>
        <v>-15634</v>
      </c>
      <c r="M7" s="12">
        <f>SUM('01_Raw_Data_Volkswagen'!E6:E9)</f>
        <v>-30074</v>
      </c>
      <c r="N7" s="9">
        <f>SUM('01_Raw_Data_BMW'!F6:F10)</f>
        <v>-12813</v>
      </c>
      <c r="O7" s="12">
        <f>SUM('01_Raw_Data_Mercedes'!F6:F10)</f>
        <v>-16316</v>
      </c>
      <c r="P7" s="12">
        <f>SUM('01_Raw_Data_Volkswagen'!F6:F9)</f>
        <v>-27966</v>
      </c>
      <c r="Q7" s="9">
        <f>SUM('01_Raw_Data_BMW'!G6:G10)</f>
        <v>-12184</v>
      </c>
      <c r="R7" s="9">
        <f>SUM('01_Raw_Data_Mercedes'!G6:G10)</f>
        <v>-14519</v>
      </c>
      <c r="S7" s="9">
        <f>SUM('01_Raw_Data_Volkswagen'!G6:G9)</f>
        <v>-29272</v>
      </c>
    </row>
    <row r="8" spans="1:19" x14ac:dyDescent="0.2">
      <c r="A8" s="7" t="s">
        <v>156</v>
      </c>
      <c r="B8" s="9">
        <f>SUM(B6:B7)</f>
        <v>-273</v>
      </c>
      <c r="C8" s="9">
        <f t="shared" ref="C8:S8" si="0">SUM(C6:C7)</f>
        <v>4609</v>
      </c>
      <c r="D8" s="9">
        <f t="shared" si="0"/>
        <v>8869</v>
      </c>
      <c r="E8" s="12">
        <f t="shared" si="0"/>
        <v>568</v>
      </c>
      <c r="F8" s="9">
        <f t="shared" si="0"/>
        <v>12498</v>
      </c>
      <c r="G8" s="12">
        <f t="shared" si="0"/>
        <v>19060</v>
      </c>
      <c r="H8" s="9">
        <f t="shared" si="0"/>
        <v>1943</v>
      </c>
      <c r="I8" s="12">
        <f t="shared" si="0"/>
        <v>17423</v>
      </c>
      <c r="J8" s="12">
        <f t="shared" si="0"/>
        <v>22576</v>
      </c>
      <c r="K8" s="9">
        <f t="shared" si="0"/>
        <v>2330</v>
      </c>
      <c r="L8" s="12">
        <f t="shared" si="0"/>
        <v>18386</v>
      </c>
      <c r="M8" s="12">
        <f t="shared" si="0"/>
        <v>22110</v>
      </c>
      <c r="N8" s="9">
        <f t="shared" si="0"/>
        <v>3430</v>
      </c>
      <c r="O8" s="12">
        <f t="shared" si="0"/>
        <v>14359</v>
      </c>
      <c r="P8" s="12">
        <f t="shared" si="0"/>
        <v>19275</v>
      </c>
      <c r="Q8" s="12">
        <f t="shared" si="0"/>
        <v>-870</v>
      </c>
      <c r="R8" s="12">
        <f t="shared" si="0"/>
        <v>5667</v>
      </c>
      <c r="S8" s="12">
        <f t="shared" si="0"/>
        <v>9675</v>
      </c>
    </row>
    <row r="9" spans="1:19" x14ac:dyDescent="0.2">
      <c r="A9" s="6" t="s">
        <v>159</v>
      </c>
      <c r="B9" s="8">
        <f>SUM('01_Raw_Data_BMW'!B11:B12)</f>
        <v>4502</v>
      </c>
      <c r="C9" s="8">
        <f>SUM('01_Raw_Data_Mercedes'!B11:B14)</f>
        <v>1675</v>
      </c>
      <c r="D9" s="8">
        <f>SUM('01_Raw_Data_Volkswagen'!B11:B14)</f>
        <v>439</v>
      </c>
      <c r="E9" s="11">
        <f>SUM('01_Raw_Data_BMW'!C11:C12)</f>
        <v>3539</v>
      </c>
      <c r="F9" s="8">
        <f>SUM('01_Raw_Data_Mercedes'!C11:C14)</f>
        <v>1649</v>
      </c>
      <c r="G9" s="11">
        <f>SUM('01_Raw_Data_Volkswagen'!C11:C14)</f>
        <v>-2254</v>
      </c>
      <c r="H9" s="8">
        <f>SUM('01_Raw_Data_BMW'!D11:D12)</f>
        <v>3508</v>
      </c>
      <c r="I9" s="11">
        <f>SUM('01_Raw_Data_Mercedes'!D11:D14)</f>
        <v>2661</v>
      </c>
      <c r="J9" s="11">
        <f>SUM('01_Raw_Data_Volkswagen'!D11:D14)</f>
        <v>618</v>
      </c>
      <c r="K9" s="8">
        <f>SUM('01_Raw_Data_BMW'!E11:E12)</f>
        <v>5594</v>
      </c>
      <c r="L9" s="11">
        <f>SUM('01_Raw_Data_Mercedes'!E11:E14)</f>
        <v>1918</v>
      </c>
      <c r="M9" s="11">
        <f>SUM('01_Raw_Data_Volkswagen'!E11:E14)</f>
        <v>-39</v>
      </c>
      <c r="N9" s="8">
        <f>SUM('01_Raw_Data_BMW'!F11:F12)</f>
        <v>2565</v>
      </c>
      <c r="O9" s="11">
        <f>SUM('01_Raw_Data_Mercedes'!F11:F14)</f>
        <v>1452</v>
      </c>
      <c r="P9" s="11">
        <f>SUM('01_Raw_Data_Volkswagen'!F11:F14)</f>
        <v>850</v>
      </c>
      <c r="Q9" s="8">
        <f>SUM('01_Raw_Data_BMW'!G11:G12)</f>
        <v>2804</v>
      </c>
      <c r="R9" s="8">
        <f>SUM('01_Raw_Data_Mercedes'!G11:G14)</f>
        <v>290</v>
      </c>
      <c r="S9" s="8">
        <f>SUM('01_Raw_Data_Volkswagen'!G11:G14)</f>
        <v>1991</v>
      </c>
    </row>
    <row r="10" spans="1:19" x14ac:dyDescent="0.2">
      <c r="A10" s="15" t="s">
        <v>176</v>
      </c>
      <c r="B10" s="16">
        <f>SUM(B8:B9)</f>
        <v>4229</v>
      </c>
      <c r="C10" s="16">
        <f t="shared" ref="C10:P10" si="1">SUM(C8:C9)</f>
        <v>6284</v>
      </c>
      <c r="D10" s="16">
        <f t="shared" si="1"/>
        <v>9308</v>
      </c>
      <c r="E10" s="17">
        <f t="shared" si="1"/>
        <v>4107</v>
      </c>
      <c r="F10" s="16">
        <f t="shared" si="1"/>
        <v>14147</v>
      </c>
      <c r="G10" s="17">
        <f t="shared" si="1"/>
        <v>16806</v>
      </c>
      <c r="H10" s="16">
        <f t="shared" si="1"/>
        <v>5451</v>
      </c>
      <c r="I10" s="17">
        <f t="shared" si="1"/>
        <v>20084</v>
      </c>
      <c r="J10" s="17">
        <f t="shared" si="1"/>
        <v>23194</v>
      </c>
      <c r="K10" s="16">
        <f t="shared" si="1"/>
        <v>7924</v>
      </c>
      <c r="L10" s="17">
        <f t="shared" si="1"/>
        <v>20304</v>
      </c>
      <c r="M10" s="17">
        <f t="shared" si="1"/>
        <v>22071</v>
      </c>
      <c r="N10" s="16">
        <f t="shared" si="1"/>
        <v>5995</v>
      </c>
      <c r="O10" s="17">
        <f t="shared" si="1"/>
        <v>15811</v>
      </c>
      <c r="P10" s="17">
        <f t="shared" si="1"/>
        <v>20125</v>
      </c>
      <c r="Q10" s="16">
        <f>SUM(Q8:Q9)</f>
        <v>1934</v>
      </c>
      <c r="R10" s="16">
        <f t="shared" ref="R10:S10" si="2">SUM(R8:R9)</f>
        <v>5957</v>
      </c>
      <c r="S10" s="16">
        <f t="shared" si="2"/>
        <v>11666</v>
      </c>
    </row>
    <row r="11" spans="1:19" x14ac:dyDescent="0.2">
      <c r="A11" s="6" t="s">
        <v>177</v>
      </c>
      <c r="B11" s="8">
        <f>'01_Raw_Data_BMW'!B13</f>
        <v>-285</v>
      </c>
      <c r="C11" s="8">
        <f>'01_Raw_Data_Mercedes'!B16</f>
        <v>-953</v>
      </c>
      <c r="D11" s="8">
        <f>'01_Raw_Data_Volkswagen'!B17</f>
        <v>-2403</v>
      </c>
      <c r="E11" s="11">
        <f>'01_Raw_Data_BMW'!C13</f>
        <v>-566</v>
      </c>
      <c r="F11" s="8">
        <f>'01_Raw_Data_Mercedes'!C16</f>
        <v>-3738</v>
      </c>
      <c r="G11" s="11">
        <f>'01_Raw_Data_Volkswagen'!C17</f>
        <v>-4411</v>
      </c>
      <c r="H11" s="8">
        <f>'01_Raw_Data_BMW'!D13</f>
        <v>-1067</v>
      </c>
      <c r="I11" s="11">
        <f>'01_Raw_Data_Mercedes'!D16</f>
        <v>-5553</v>
      </c>
      <c r="J11" s="11">
        <f>'01_Raw_Data_Volkswagen'!D17</f>
        <v>-5266</v>
      </c>
      <c r="K11" s="8">
        <f>'01_Raw_Data_BMW'!E13</f>
        <v>-1594</v>
      </c>
      <c r="L11" s="11">
        <f>'01_Raw_Data_Mercedes'!E16</f>
        <v>-5495</v>
      </c>
      <c r="M11" s="11">
        <f>'01_Raw_Data_Volkswagen'!E17</f>
        <v>-6217</v>
      </c>
      <c r="N11" s="8">
        <f>'01_Raw_Data_BMW'!F13</f>
        <v>-1068</v>
      </c>
      <c r="O11" s="11">
        <f>'01_Raw_Data_Mercedes'!F16</f>
        <v>-4761</v>
      </c>
      <c r="P11" s="11">
        <f>'01_Raw_Data_Volkswagen'!F17</f>
        <v>-4698</v>
      </c>
      <c r="Q11" s="8">
        <f>'01_Raw_Data_BMW'!G13</f>
        <v>-214</v>
      </c>
      <c r="R11" s="8">
        <f>'01_Raw_Data_Mercedes'!G16</f>
        <v>-1926</v>
      </c>
      <c r="S11" s="8">
        <f>'01_Raw_Data_Volkswagen'!G17</f>
        <v>-2843</v>
      </c>
    </row>
    <row r="12" spans="1:19" x14ac:dyDescent="0.2">
      <c r="A12" s="6" t="s">
        <v>178</v>
      </c>
      <c r="B12" s="8">
        <f>'01_Raw_Data_BMW'!B15</f>
        <v>-17</v>
      </c>
      <c r="C12" s="10">
        <v>0</v>
      </c>
      <c r="D12" s="10">
        <v>0</v>
      </c>
      <c r="E12" s="11">
        <f>'01_Raw_Data_BMW'!C15</f>
        <v>-17</v>
      </c>
      <c r="F12" s="10">
        <v>0</v>
      </c>
      <c r="G12" s="6">
        <v>0</v>
      </c>
      <c r="H12" s="8">
        <f>'01_Raw_Data_BMW'!D15</f>
        <v>-18</v>
      </c>
      <c r="I12" s="6">
        <v>0</v>
      </c>
      <c r="J12" s="6">
        <v>0</v>
      </c>
      <c r="K12" s="8">
        <f>'01_Raw_Data_BMW'!E15</f>
        <v>-19</v>
      </c>
      <c r="L12" s="6">
        <v>0</v>
      </c>
      <c r="M12" s="6">
        <v>0</v>
      </c>
      <c r="N12" s="8">
        <f>'01_Raw_Data_BMW'!F15</f>
        <v>-17</v>
      </c>
      <c r="O12" s="6">
        <v>0</v>
      </c>
      <c r="P12" s="6">
        <v>0</v>
      </c>
      <c r="Q12" s="8">
        <f>'01_Raw_Data_BMW'!G15</f>
        <v>-18</v>
      </c>
      <c r="R12" s="10">
        <v>0</v>
      </c>
      <c r="S12" s="10">
        <v>0</v>
      </c>
    </row>
    <row r="13" spans="1:19" x14ac:dyDescent="0.2">
      <c r="A13" s="6" t="s">
        <v>157</v>
      </c>
      <c r="B13" s="10">
        <v>0</v>
      </c>
      <c r="C13" s="8">
        <f>'01_Raw_Data_Mercedes'!B17</f>
        <v>0</v>
      </c>
      <c r="D13" s="10">
        <v>0</v>
      </c>
      <c r="E13" s="6">
        <v>0</v>
      </c>
      <c r="F13" s="8">
        <f>'01_Raw_Data_Mercedes'!C17</f>
        <v>0</v>
      </c>
      <c r="G13" s="6">
        <v>0</v>
      </c>
      <c r="H13" s="10">
        <v>0</v>
      </c>
      <c r="I13" s="11">
        <f>'01_Raw_Data_Mercedes'!D17</f>
        <v>0</v>
      </c>
      <c r="J13" s="6">
        <v>0</v>
      </c>
      <c r="K13" s="10">
        <v>0</v>
      </c>
      <c r="L13" s="11">
        <f>'01_Raw_Data_Mercedes'!E17</f>
        <v>0</v>
      </c>
      <c r="M13" s="6">
        <v>0</v>
      </c>
      <c r="N13" s="10">
        <v>0</v>
      </c>
      <c r="O13" s="11">
        <f>'01_Raw_Data_Mercedes'!F17</f>
        <v>12346</v>
      </c>
      <c r="P13" s="6">
        <v>0</v>
      </c>
      <c r="Q13" s="10">
        <v>0</v>
      </c>
      <c r="R13" s="8">
        <f>'01_Raw_Data_Mercedes'!G17</f>
        <v>-22</v>
      </c>
      <c r="S13" s="10">
        <v>0</v>
      </c>
    </row>
    <row r="14" spans="1:19" x14ac:dyDescent="0.2">
      <c r="A14" s="15" t="s">
        <v>15</v>
      </c>
      <c r="B14" s="16">
        <f t="shared" ref="B14:P14" si="3">SUM(B10:B13)</f>
        <v>3927</v>
      </c>
      <c r="C14" s="16">
        <f t="shared" si="3"/>
        <v>5331</v>
      </c>
      <c r="D14" s="16">
        <f t="shared" si="3"/>
        <v>6905</v>
      </c>
      <c r="E14" s="17">
        <f t="shared" si="3"/>
        <v>3524</v>
      </c>
      <c r="F14" s="16">
        <f t="shared" si="3"/>
        <v>10409</v>
      </c>
      <c r="G14" s="17">
        <f t="shared" si="3"/>
        <v>12395</v>
      </c>
      <c r="H14" s="16">
        <f t="shared" si="3"/>
        <v>4366</v>
      </c>
      <c r="I14" s="17">
        <f t="shared" si="3"/>
        <v>14531</v>
      </c>
      <c r="J14" s="17">
        <f t="shared" si="3"/>
        <v>17928</v>
      </c>
      <c r="K14" s="16">
        <f t="shared" si="3"/>
        <v>6311</v>
      </c>
      <c r="L14" s="17">
        <f t="shared" si="3"/>
        <v>14809</v>
      </c>
      <c r="M14" s="17">
        <f t="shared" si="3"/>
        <v>15854</v>
      </c>
      <c r="N14" s="16">
        <f t="shared" si="3"/>
        <v>4910</v>
      </c>
      <c r="O14" s="17">
        <f t="shared" si="3"/>
        <v>23396</v>
      </c>
      <c r="P14" s="17">
        <f t="shared" si="3"/>
        <v>15427</v>
      </c>
      <c r="Q14" s="16">
        <f t="shared" ref="Q14:S14" si="4">SUM(Q10:Q13)</f>
        <v>1702</v>
      </c>
      <c r="R14" s="16">
        <f t="shared" si="4"/>
        <v>4009</v>
      </c>
      <c r="S14" s="16">
        <f t="shared" si="4"/>
        <v>8823</v>
      </c>
    </row>
    <row r="17" spans="1:19" x14ac:dyDescent="0.2">
      <c r="A17" s="5" t="s">
        <v>153</v>
      </c>
      <c r="B17" s="44">
        <v>2025</v>
      </c>
      <c r="C17" s="44"/>
      <c r="D17" s="44"/>
      <c r="E17" s="44">
        <v>2024</v>
      </c>
      <c r="F17" s="44"/>
      <c r="G17" s="44"/>
      <c r="H17" s="44">
        <v>2023</v>
      </c>
      <c r="I17" s="44"/>
      <c r="J17" s="44"/>
      <c r="K17" s="44">
        <v>2022</v>
      </c>
      <c r="L17" s="44"/>
      <c r="M17" s="44"/>
      <c r="N17" s="44">
        <v>2021</v>
      </c>
      <c r="O17" s="44"/>
      <c r="P17" s="44"/>
      <c r="Q17" s="44">
        <v>2020</v>
      </c>
      <c r="R17" s="44"/>
      <c r="S17" s="44"/>
    </row>
    <row r="18" spans="1:19" x14ac:dyDescent="0.2">
      <c r="A18" s="5" t="s">
        <v>166</v>
      </c>
      <c r="B18" s="13" t="s">
        <v>150</v>
      </c>
      <c r="C18" s="14" t="s">
        <v>151</v>
      </c>
      <c r="D18" s="14" t="s">
        <v>152</v>
      </c>
      <c r="E18" s="14" t="s">
        <v>150</v>
      </c>
      <c r="F18" s="14" t="s">
        <v>151</v>
      </c>
      <c r="G18" s="14" t="s">
        <v>152</v>
      </c>
      <c r="H18" s="14" t="s">
        <v>150</v>
      </c>
      <c r="I18" s="14" t="s">
        <v>151</v>
      </c>
      <c r="J18" s="14" t="s">
        <v>152</v>
      </c>
      <c r="K18" s="14" t="s">
        <v>150</v>
      </c>
      <c r="L18" s="14" t="s">
        <v>151</v>
      </c>
      <c r="M18" s="14" t="s">
        <v>152</v>
      </c>
      <c r="N18" s="14" t="s">
        <v>150</v>
      </c>
      <c r="O18" s="14" t="s">
        <v>151</v>
      </c>
      <c r="P18" s="14" t="s">
        <v>152</v>
      </c>
      <c r="Q18" s="14" t="s">
        <v>150</v>
      </c>
      <c r="R18" s="14" t="s">
        <v>151</v>
      </c>
      <c r="S18" s="14" t="s">
        <v>152</v>
      </c>
    </row>
    <row r="19" spans="1:19" x14ac:dyDescent="0.2">
      <c r="A19" s="6" t="s">
        <v>160</v>
      </c>
      <c r="B19" s="11">
        <f>'01_Raw_Data_BMW'!B28</f>
        <v>8407</v>
      </c>
      <c r="C19" s="8">
        <f>'01_Raw_Data_Mercedes'!B35</f>
        <v>12254</v>
      </c>
      <c r="D19" s="8">
        <f>'01_Raw_Data_Volkswagen'!B42</f>
        <v>38801</v>
      </c>
      <c r="E19" s="11">
        <f>'01_Raw_Data_BMW'!C28</f>
        <v>8142</v>
      </c>
      <c r="F19" s="8">
        <f>'01_Raw_Data_Mercedes'!C35</f>
        <v>14511</v>
      </c>
      <c r="G19" s="8">
        <f>'01_Raw_Data_Volkswagen'!C42</f>
        <v>40296</v>
      </c>
      <c r="H19" s="11">
        <f>'01_Raw_Data_BMW'!D28</f>
        <v>6145</v>
      </c>
      <c r="I19" s="8">
        <f>'01_Raw_Data_Mercedes'!D35</f>
        <v>15962</v>
      </c>
      <c r="J19" s="8">
        <f>'01_Raw_Data_Volkswagen'!D42</f>
        <v>43449</v>
      </c>
      <c r="K19" s="11">
        <f>'01_Raw_Data_BMW'!E28</f>
        <v>6207</v>
      </c>
      <c r="L19" s="8">
        <f>'01_Raw_Data_Mercedes'!E35</f>
        <v>17679</v>
      </c>
      <c r="M19" s="8">
        <f>'01_Raw_Data_Volkswagen'!E42</f>
        <v>29172</v>
      </c>
      <c r="N19" s="11">
        <f>'01_Raw_Data_BMW'!F28</f>
        <v>8824</v>
      </c>
      <c r="O19" s="8">
        <f>'01_Raw_Data_Mercedes'!F35</f>
        <v>23120</v>
      </c>
      <c r="P19" s="8">
        <f>'01_Raw_Data_Volkswagen'!F42</f>
        <v>39723</v>
      </c>
      <c r="Q19" s="11">
        <f>'01_Raw_Data_BMW'!G28</f>
        <v>6822</v>
      </c>
      <c r="R19" s="8">
        <f>'01_Raw_Data_Mercedes'!G35</f>
        <v>23048</v>
      </c>
      <c r="S19" s="8">
        <f>'01_Raw_Data_Volkswagen'!G42</f>
        <v>33909</v>
      </c>
    </row>
    <row r="20" spans="1:19" x14ac:dyDescent="0.2">
      <c r="A20" s="6" t="s">
        <v>72</v>
      </c>
      <c r="B20" s="11">
        <f>'01_Raw_Data_BMW'!B24</f>
        <v>1164</v>
      </c>
      <c r="C20" s="8">
        <f>'01_Raw_Data_Mercedes'!B33</f>
        <v>5851</v>
      </c>
      <c r="D20" s="8">
        <f>'01_Raw_Data_Volkswagen'!B36</f>
        <v>20760</v>
      </c>
      <c r="E20" s="11">
        <f>'01_Raw_Data_BMW'!C24</f>
        <v>1005</v>
      </c>
      <c r="F20" s="8">
        <f>'01_Raw_Data_Mercedes'!C33</f>
        <v>6973</v>
      </c>
      <c r="G20" s="8">
        <f>'01_Raw_Data_Volkswagen'!C36</f>
        <v>21130</v>
      </c>
      <c r="H20" s="11">
        <f>'01_Raw_Data_BMW'!D24</f>
        <v>1349</v>
      </c>
      <c r="I20" s="8">
        <f>'01_Raw_Data_Mercedes'!D33</f>
        <v>7281</v>
      </c>
      <c r="J20" s="8">
        <f>'01_Raw_Data_Volkswagen'!D36</f>
        <v>21849</v>
      </c>
      <c r="K20" s="11">
        <f>'01_Raw_Data_BMW'!E24</f>
        <v>1161</v>
      </c>
      <c r="L20" s="8">
        <f>'01_Raw_Data_Mercedes'!E33</f>
        <v>8100</v>
      </c>
      <c r="M20" s="8">
        <f>'01_Raw_Data_Volkswagen'!E36</f>
        <v>18534</v>
      </c>
      <c r="N20" s="11">
        <f>'01_Raw_Data_BMW'!F24</f>
        <v>758</v>
      </c>
      <c r="O20" s="8">
        <f>'01_Raw_Data_Mercedes'!F33</f>
        <v>7673</v>
      </c>
      <c r="P20" s="8">
        <f>'01_Raw_Data_Volkswagen'!F36</f>
        <v>15521</v>
      </c>
      <c r="Q20" s="11">
        <f>'01_Raw_Data_BMW'!G24</f>
        <v>778</v>
      </c>
      <c r="R20" s="8">
        <f>'01_Raw_Data_Mercedes'!G33</f>
        <v>10649</v>
      </c>
      <c r="S20" s="8">
        <f>'01_Raw_Data_Volkswagen'!G36</f>
        <v>16243</v>
      </c>
    </row>
    <row r="21" spans="1:19" x14ac:dyDescent="0.2">
      <c r="A21" s="6" t="s">
        <v>21</v>
      </c>
      <c r="B21" s="11">
        <f>'01_Raw_Data_BMW'!B23</f>
        <v>7296</v>
      </c>
      <c r="C21" s="8">
        <f>'01_Raw_Data_Mercedes'!B32</f>
        <v>23933</v>
      </c>
      <c r="D21" s="8">
        <f>'01_Raw_Data_Volkswagen'!B35</f>
        <v>56042</v>
      </c>
      <c r="E21" s="11">
        <f>'01_Raw_Data_BMW'!C23</f>
        <v>7766</v>
      </c>
      <c r="F21" s="8">
        <f>'01_Raw_Data_Mercedes'!C32</f>
        <v>26234</v>
      </c>
      <c r="G21" s="8">
        <f>'01_Raw_Data_Volkswagen'!C35</f>
        <v>56720</v>
      </c>
      <c r="H21" s="11">
        <f>'01_Raw_Data_BMW'!D23</f>
        <v>8505</v>
      </c>
      <c r="I21" s="8">
        <f>'01_Raw_Data_Mercedes'!D32</f>
        <v>27294</v>
      </c>
      <c r="J21" s="8">
        <f>'01_Raw_Data_Volkswagen'!D35</f>
        <v>53601</v>
      </c>
      <c r="K21" s="11">
        <f>'01_Raw_Data_BMW'!E23</f>
        <v>7523</v>
      </c>
      <c r="L21" s="8">
        <f>'01_Raw_Data_Mercedes'!E32</f>
        <v>25621</v>
      </c>
      <c r="M21" s="8">
        <f>'01_Raw_Data_Volkswagen'!E35</f>
        <v>52274</v>
      </c>
      <c r="N21" s="11">
        <f>'01_Raw_Data_BMW'!F23</f>
        <v>7287</v>
      </c>
      <c r="O21" s="8">
        <f>'01_Raw_Data_Mercedes'!F32</f>
        <v>21466</v>
      </c>
      <c r="P21" s="8">
        <f>'01_Raw_Data_Volkswagen'!F35</f>
        <v>43725</v>
      </c>
      <c r="Q21" s="11">
        <f>'01_Raw_Data_BMW'!G23</f>
        <v>5748</v>
      </c>
      <c r="R21" s="8">
        <f>'01_Raw_Data_Mercedes'!G32</f>
        <v>26444</v>
      </c>
      <c r="S21" s="8">
        <f>'01_Raw_Data_Volkswagen'!G35</f>
        <v>43823</v>
      </c>
    </row>
    <row r="22" spans="1:19" x14ac:dyDescent="0.2">
      <c r="A22" s="6" t="s">
        <v>175</v>
      </c>
      <c r="B22" s="11">
        <f>'01_Raw_Data_BMW'!B25</f>
        <v>15650</v>
      </c>
      <c r="C22" s="8">
        <f>'01_Raw_Data_Mercedes'!B34</f>
        <v>34387</v>
      </c>
      <c r="D22" s="8">
        <f>'01_Raw_Data_Volkswagen'!B37</f>
        <v>70026</v>
      </c>
      <c r="E22" s="11">
        <f>'01_Raw_Data_BMW'!C25</f>
        <v>13546</v>
      </c>
      <c r="F22" s="8">
        <f>'01_Raw_Data_Mercedes'!C34</f>
        <v>39320</v>
      </c>
      <c r="G22" s="8">
        <f>'01_Raw_Data_Volkswagen'!C37</f>
        <v>68855</v>
      </c>
      <c r="H22" s="11">
        <f>'01_Raw_Data_BMW'!D25</f>
        <v>16398</v>
      </c>
      <c r="I22" s="8">
        <f>'01_Raw_Data_Mercedes'!D34</f>
        <v>38469</v>
      </c>
      <c r="J22" s="8">
        <f>'01_Raw_Data_Volkswagen'!D37</f>
        <v>66381</v>
      </c>
      <c r="K22" s="11">
        <f>'01_Raw_Data_BMW'!E25</f>
        <v>24510</v>
      </c>
      <c r="L22" s="8">
        <f>'01_Raw_Data_Mercedes'!E34</f>
        <v>37312</v>
      </c>
      <c r="M22" s="8">
        <f>'01_Raw_Data_Volkswagen'!E37</f>
        <v>61549</v>
      </c>
      <c r="N22" s="11">
        <f>'01_Raw_Data_BMW'!F25</f>
        <v>21019</v>
      </c>
      <c r="O22" s="8">
        <f>'01_Raw_Data_Mercedes'!F34</f>
        <v>33670</v>
      </c>
      <c r="P22" s="8">
        <f>'01_Raw_Data_Volkswagen'!F37</f>
        <v>56498</v>
      </c>
      <c r="Q22" s="11">
        <f>'01_Raw_Data_BMW'!G25</f>
        <v>18939</v>
      </c>
      <c r="R22" s="8">
        <f>'01_Raw_Data_Mercedes'!G34</f>
        <v>42476</v>
      </c>
      <c r="S22" s="8">
        <f>'01_Raw_Data_Volkswagen'!G37</f>
        <v>58006</v>
      </c>
    </row>
    <row r="23" spans="1:19" x14ac:dyDescent="0.2">
      <c r="A23" s="6" t="s">
        <v>161</v>
      </c>
      <c r="B23" s="11">
        <f>'01_Raw_Data_BMW'!B26+'01_Raw_Data_BMW'!B27</f>
        <v>6674</v>
      </c>
      <c r="C23" s="8">
        <f>'01_Raw_Data_Mercedes'!B84</f>
        <v>25707</v>
      </c>
      <c r="D23" s="8">
        <f>'01_Raw_Data_Volkswagen'!B85</f>
        <v>62235</v>
      </c>
      <c r="E23" s="11">
        <f>'01_Raw_Data_BMW'!C26+'01_Raw_Data_BMW'!C27</f>
        <v>5757</v>
      </c>
      <c r="F23" s="8">
        <f>'01_Raw_Data_Mercedes'!C84</f>
        <v>14729</v>
      </c>
      <c r="G23" s="8">
        <f>'01_Raw_Data_Volkswagen'!C85</f>
        <v>58230</v>
      </c>
      <c r="H23" s="11">
        <f>'01_Raw_Data_BMW'!D26+'01_Raw_Data_BMW'!D27</f>
        <v>5825</v>
      </c>
      <c r="I23" s="8">
        <f>'01_Raw_Data_Mercedes'!D84</f>
        <v>15026</v>
      </c>
      <c r="J23" s="8">
        <f>'01_Raw_Data_Volkswagen'!D85</f>
        <v>54363</v>
      </c>
      <c r="K23" s="11">
        <f>'01_Raw_Data_BMW'!E26+'01_Raw_Data_BMW'!E27</f>
        <v>5185</v>
      </c>
      <c r="L23" s="8">
        <f>'01_Raw_Data_Mercedes'!E84</f>
        <v>14162</v>
      </c>
      <c r="M23" s="8">
        <f>'01_Raw_Data_Volkswagen'!E85</f>
        <v>62632</v>
      </c>
      <c r="N23" s="11">
        <f>'01_Raw_Data_BMW'!F26+'01_Raw_Data_BMW'!F27</f>
        <v>7148</v>
      </c>
      <c r="O23" s="8">
        <f>'01_Raw_Data_Mercedes'!F84</f>
        <v>17000</v>
      </c>
      <c r="P23" s="8">
        <f>'01_Raw_Data_Volkswagen'!F85</f>
        <v>44881</v>
      </c>
      <c r="Q23" s="11">
        <f>'01_Raw_Data_BMW'!G26+'01_Raw_Data_BMW'!G27</f>
        <v>7185</v>
      </c>
      <c r="R23" s="8">
        <f>'01_Raw_Data_Mercedes'!G84</f>
        <v>12647</v>
      </c>
      <c r="S23" s="8">
        <f>'01_Raw_Data_Volkswagen'!G85</f>
        <v>42963</v>
      </c>
    </row>
    <row r="24" spans="1:19" x14ac:dyDescent="0.2">
      <c r="A24" s="7" t="s">
        <v>59</v>
      </c>
      <c r="B24" s="12">
        <f>'01_Raw_Data_BMW'!B29</f>
        <v>39191</v>
      </c>
      <c r="C24" s="12">
        <f>'01_Raw_Data_Mercedes'!B41</f>
        <v>102132</v>
      </c>
      <c r="D24" s="12">
        <f>'01_Raw_Data_Volkswagen'!B44</f>
        <v>247865</v>
      </c>
      <c r="E24" s="12">
        <f>'01_Raw_Data_BMW'!C29</f>
        <v>36216</v>
      </c>
      <c r="F24" s="12">
        <f>'01_Raw_Data_Mercedes'!C41</f>
        <v>101767</v>
      </c>
      <c r="G24" s="12">
        <f>'01_Raw_Data_Volkswagen'!C44</f>
        <v>245231</v>
      </c>
      <c r="H24" s="12">
        <f>'01_Raw_Data_BMW'!D29</f>
        <v>38222</v>
      </c>
      <c r="I24" s="12">
        <f>'01_Raw_Data_Mercedes'!D41</f>
        <v>104032</v>
      </c>
      <c r="J24" s="12">
        <f>'01_Raw_Data_Volkswagen'!D44</f>
        <v>239644</v>
      </c>
      <c r="K24" s="12">
        <f>'01_Raw_Data_BMW'!E29</f>
        <v>44586</v>
      </c>
      <c r="L24" s="12">
        <f>'01_Raw_Data_Mercedes'!E41</f>
        <v>102874</v>
      </c>
      <c r="M24" s="12">
        <f>'01_Raw_Data_Volkswagen'!E44</f>
        <v>224159</v>
      </c>
      <c r="N24" s="12">
        <f>'01_Raw_Data_BMW'!F29</f>
        <v>45036</v>
      </c>
      <c r="O24" s="12">
        <f>'01_Raw_Data_Mercedes'!F41</f>
        <v>102929</v>
      </c>
      <c r="P24" s="12">
        <f>'01_Raw_Data_Volkswagen'!F44</f>
        <v>200347</v>
      </c>
      <c r="Q24" s="12">
        <f>'01_Raw_Data_BMW'!G29</f>
        <v>39472</v>
      </c>
      <c r="R24" s="12">
        <f>'01_Raw_Data_Mercedes'!G41</f>
        <v>115264</v>
      </c>
      <c r="S24" s="12">
        <f>'01_Raw_Data_Volkswagen'!G44</f>
        <v>194944</v>
      </c>
    </row>
    <row r="25" spans="1:19" x14ac:dyDescent="0.2">
      <c r="A25" s="6" t="s">
        <v>162</v>
      </c>
      <c r="B25" s="11">
        <f>'01_Raw_Data_BMW'!B19</f>
        <v>1224</v>
      </c>
      <c r="C25" s="8">
        <f>'01_Raw_Data_Mercedes'!B21</f>
        <v>20547</v>
      </c>
      <c r="D25" s="8">
        <f>'01_Raw_Data_Volkswagen'!B23</f>
        <v>91474</v>
      </c>
      <c r="E25" s="8">
        <f>'01_Raw_Data_BMW'!C19</f>
        <v>1606</v>
      </c>
      <c r="F25" s="8">
        <f>'01_Raw_Data_Mercedes'!C21</f>
        <v>19436</v>
      </c>
      <c r="G25" s="8">
        <f>'01_Raw_Data_Volkswagen'!C23</f>
        <v>93333</v>
      </c>
      <c r="H25" s="8">
        <f>'01_Raw_Data_BMW'!D19</f>
        <v>1823</v>
      </c>
      <c r="I25" s="8">
        <f>'01_Raw_Data_Mercedes'!D21</f>
        <v>17593</v>
      </c>
      <c r="J25" s="8">
        <f>'01_Raw_Data_Volkswagen'!D23</f>
        <v>89109</v>
      </c>
      <c r="K25" s="8">
        <f>'01_Raw_Data_BMW'!E19</f>
        <v>1444</v>
      </c>
      <c r="L25" s="8">
        <f>'01_Raw_Data_Mercedes'!E21</f>
        <v>15869</v>
      </c>
      <c r="M25" s="8">
        <f>'01_Raw_Data_Volkswagen'!E23</f>
        <v>83241</v>
      </c>
      <c r="N25" s="8">
        <f>'01_Raw_Data_BMW'!F19</f>
        <v>704</v>
      </c>
      <c r="O25" s="8">
        <f>'01_Raw_Data_Mercedes'!F21</f>
        <v>15005</v>
      </c>
      <c r="P25" s="8">
        <f>'01_Raw_Data_Volkswagen'!F23</f>
        <v>77689</v>
      </c>
      <c r="Q25" s="11">
        <f>'01_Raw_Data_BMW'!G19</f>
        <v>488</v>
      </c>
      <c r="R25" s="8">
        <f>'01_Raw_Data_Mercedes'!G21</f>
        <v>16399</v>
      </c>
      <c r="S25" s="8">
        <f>'01_Raw_Data_Volkswagen'!G23</f>
        <v>67968</v>
      </c>
    </row>
    <row r="26" spans="1:19" x14ac:dyDescent="0.2">
      <c r="A26" s="6" t="s">
        <v>163</v>
      </c>
      <c r="B26" s="11">
        <f>'01_Raw_Data_BMW'!B20</f>
        <v>17184</v>
      </c>
      <c r="C26" s="8">
        <f>'01_Raw_Data_Mercedes'!B80</f>
        <v>66812</v>
      </c>
      <c r="D26" s="8">
        <f>'01_Raw_Data_Volkswagen'!B81</f>
        <v>155562</v>
      </c>
      <c r="E26" s="8">
        <f>'01_Raw_Data_BMW'!C20</f>
        <v>16623</v>
      </c>
      <c r="F26" s="8">
        <f>'01_Raw_Data_Mercedes'!C80</f>
        <v>71757</v>
      </c>
      <c r="G26" s="8">
        <f>'01_Raw_Data_Volkswagen'!C81</f>
        <v>144645</v>
      </c>
      <c r="H26" s="8">
        <f>'01_Raw_Data_BMW'!D20</f>
        <v>15560</v>
      </c>
      <c r="I26" s="8">
        <f>'01_Raw_Data_Mercedes'!D80</f>
        <v>67802</v>
      </c>
      <c r="J26" s="8">
        <f>'01_Raw_Data_Volkswagen'!D81</f>
        <v>130974</v>
      </c>
      <c r="K26" s="8">
        <f>'01_Raw_Data_BMW'!E20</f>
        <v>14004</v>
      </c>
      <c r="L26" s="8">
        <f>'01_Raw_Data_Mercedes'!E80</f>
        <v>68802</v>
      </c>
      <c r="M26" s="8">
        <f>'01_Raw_Data_Volkswagen'!E81</f>
        <v>123270</v>
      </c>
      <c r="N26" s="8">
        <f>'01_Raw_Data_BMW'!F20</f>
        <v>12740</v>
      </c>
      <c r="O26" s="8">
        <f>'01_Raw_Data_Mercedes'!F80</f>
        <v>72330</v>
      </c>
      <c r="P26" s="8">
        <f>'01_Raw_Data_Volkswagen'!F81</f>
        <v>123394</v>
      </c>
      <c r="Q26" s="11">
        <f>'01_Raw_Data_BMW'!G20</f>
        <v>12520</v>
      </c>
      <c r="R26" s="8">
        <f>'01_Raw_Data_Mercedes'!G80</f>
        <v>82798</v>
      </c>
      <c r="S26" s="8">
        <f>'01_Raw_Data_Volkswagen'!G81</f>
        <v>114570</v>
      </c>
    </row>
    <row r="27" spans="1:19" x14ac:dyDescent="0.2">
      <c r="A27" s="6" t="s">
        <v>174</v>
      </c>
      <c r="B27" s="11">
        <f>'01_Raw_Data_BMW'!B21</f>
        <v>12001</v>
      </c>
      <c r="C27" s="8">
        <f>'01_Raw_Data_Mercedes'!B82</f>
        <v>52565</v>
      </c>
      <c r="D27" s="8">
        <f>'01_Raw_Data_Volkswagen'!B83</f>
        <v>119201</v>
      </c>
      <c r="E27" s="11">
        <f>'01_Raw_Data_BMW'!C21</f>
        <v>12020</v>
      </c>
      <c r="F27" s="8">
        <f>'01_Raw_Data_Mercedes'!C82</f>
        <v>61977</v>
      </c>
      <c r="G27" s="8">
        <f>'01_Raw_Data_Volkswagen'!C83</f>
        <v>117709</v>
      </c>
      <c r="H27" s="11">
        <f>'01_Raw_Data_BMW'!D21</f>
        <v>12077</v>
      </c>
      <c r="I27" s="8">
        <f>'01_Raw_Data_Mercedes'!D82</f>
        <v>63545</v>
      </c>
      <c r="J27" s="8">
        <f>'01_Raw_Data_Volkswagen'!D83</f>
        <v>111776</v>
      </c>
      <c r="K27" s="11">
        <f>'01_Raw_Data_BMW'!E21</f>
        <v>12093</v>
      </c>
      <c r="L27" s="8">
        <f>'01_Raw_Data_Mercedes'!E82</f>
        <v>62590</v>
      </c>
      <c r="M27" s="8">
        <f>'01_Raw_Data_Volkswagen'!E83</f>
        <v>103711</v>
      </c>
      <c r="N27" s="11">
        <f>'01_Raw_Data_BMW'!F21</f>
        <v>5067</v>
      </c>
      <c r="O27" s="8">
        <f>'01_Raw_Data_Mercedes'!F82</f>
        <v>61416</v>
      </c>
      <c r="P27" s="8">
        <f>'01_Raw_Data_Volkswagen'!F83</f>
        <v>101100</v>
      </c>
      <c r="Q27" s="11">
        <f>'01_Raw_Data_BMW'!G21</f>
        <v>3826</v>
      </c>
      <c r="R27" s="8">
        <f>'01_Raw_Data_Mercedes'!G82</f>
        <v>59939</v>
      </c>
      <c r="S27" s="8">
        <f>'01_Raw_Data_Volkswagen'!G83</f>
        <v>95068</v>
      </c>
    </row>
    <row r="28" spans="1:19" x14ac:dyDescent="0.2">
      <c r="A28" s="6" t="s">
        <v>164</v>
      </c>
      <c r="B28" s="11">
        <f>'01_Raw_Data_BMW'!B30+'01_Raw_Data_BMW'!B31</f>
        <v>128</v>
      </c>
      <c r="C28" s="8">
        <f>'01_Raw_Data_Mercedes'!B83</f>
        <v>13410</v>
      </c>
      <c r="D28" s="8">
        <f>'01_Raw_Data_Volkswagen'!B84</f>
        <v>30365</v>
      </c>
      <c r="E28" s="11">
        <f>'01_Raw_Data_BMW'!C30+'01_Raw_Data_BMW'!C31</f>
        <v>105</v>
      </c>
      <c r="F28" s="8">
        <f>'01_Raw_Data_Mercedes'!C83</f>
        <v>10073</v>
      </c>
      <c r="G28" s="8">
        <f>'01_Raw_Data_Volkswagen'!C84</f>
        <v>31987</v>
      </c>
      <c r="H28" s="11">
        <f>'01_Raw_Data_BMW'!D30+'01_Raw_Data_BMW'!D31</f>
        <v>142</v>
      </c>
      <c r="I28" s="8">
        <f>'01_Raw_Data_Mercedes'!D83</f>
        <v>10050</v>
      </c>
      <c r="J28" s="8">
        <f>'01_Raw_Data_Volkswagen'!D84</f>
        <v>28836</v>
      </c>
      <c r="K28" s="11">
        <f>'01_Raw_Data_BMW'!E30+'01_Raw_Data_BMW'!E31</f>
        <v>116</v>
      </c>
      <c r="L28" s="8">
        <f>'01_Raw_Data_Mercedes'!E83</f>
        <v>9880</v>
      </c>
      <c r="M28" s="8">
        <f>'01_Raw_Data_Volkswagen'!E84</f>
        <v>29632</v>
      </c>
      <c r="N28" s="11">
        <f>'01_Raw_Data_BMW'!F30+'01_Raw_Data_BMW'!F31</f>
        <v>1158</v>
      </c>
      <c r="O28" s="8">
        <f>'01_Raw_Data_Mercedes'!F83</f>
        <v>8151</v>
      </c>
      <c r="P28" s="8">
        <f>'01_Raw_Data_Volkswagen'!F84</f>
        <v>26079</v>
      </c>
      <c r="Q28" s="11">
        <f>'01_Raw_Data_BMW'!G30+'01_Raw_Data_BMW'!G31</f>
        <v>1334</v>
      </c>
      <c r="R28" s="8">
        <f>'01_Raw_Data_Mercedes'!G83</f>
        <v>11337</v>
      </c>
      <c r="S28" s="8">
        <f>'01_Raw_Data_Volkswagen'!G84</f>
        <v>24563</v>
      </c>
    </row>
    <row r="29" spans="1:19" x14ac:dyDescent="0.2">
      <c r="A29" s="15" t="s">
        <v>165</v>
      </c>
      <c r="B29" s="17">
        <f>'01_Raw_Data_BMW'!B32</f>
        <v>69728</v>
      </c>
      <c r="C29" s="17">
        <f>'01_Raw_Data_Mercedes'!B42</f>
        <v>255466</v>
      </c>
      <c r="D29" s="17">
        <f>'01_Raw_Data_Volkswagen'!B45</f>
        <v>644467</v>
      </c>
      <c r="E29" s="17">
        <f>'01_Raw_Data_BMW'!C32</f>
        <v>66570</v>
      </c>
      <c r="F29" s="17">
        <f>'01_Raw_Data_Mercedes'!C42</f>
        <v>265010</v>
      </c>
      <c r="G29" s="17">
        <f>'01_Raw_Data_Volkswagen'!C45</f>
        <v>632905</v>
      </c>
      <c r="H29" s="17">
        <f>'01_Raw_Data_BMW'!D32</f>
        <v>67824</v>
      </c>
      <c r="I29" s="17">
        <f>'01_Raw_Data_Mercedes'!D42</f>
        <v>263022</v>
      </c>
      <c r="J29" s="17">
        <f>'01_Raw_Data_Volkswagen'!D45</f>
        <v>600338</v>
      </c>
      <c r="K29" s="17">
        <f>'01_Raw_Data_BMW'!E32</f>
        <v>72243</v>
      </c>
      <c r="L29" s="17">
        <f>'01_Raw_Data_Mercedes'!E42</f>
        <v>260015</v>
      </c>
      <c r="M29" s="17">
        <f>'01_Raw_Data_Volkswagen'!E45</f>
        <v>564013</v>
      </c>
      <c r="N29" s="17">
        <f>'01_Raw_Data_BMW'!F32</f>
        <v>64705</v>
      </c>
      <c r="O29" s="17">
        <f>'01_Raw_Data_Mercedes'!F42</f>
        <v>259831</v>
      </c>
      <c r="P29" s="17">
        <f>'01_Raw_Data_Volkswagen'!F45</f>
        <v>528609</v>
      </c>
      <c r="Q29" s="17">
        <f>'01_Raw_Data_BMW'!G32</f>
        <v>57640</v>
      </c>
      <c r="R29" s="17">
        <f>'01_Raw_Data_Mercedes'!G42</f>
        <v>285737</v>
      </c>
      <c r="S29" s="17">
        <f>'01_Raw_Data_Volkswagen'!G45</f>
        <v>497114</v>
      </c>
    </row>
    <row r="30" spans="1:19" x14ac:dyDescent="0.2">
      <c r="A30" s="6"/>
      <c r="B30" s="6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6"/>
      <c r="R30" s="10"/>
      <c r="S30" s="10"/>
    </row>
    <row r="31" spans="1:19" x14ac:dyDescent="0.2">
      <c r="A31" s="18" t="s">
        <v>167</v>
      </c>
      <c r="B31" s="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6"/>
      <c r="R31" s="10"/>
      <c r="S31" s="10"/>
    </row>
    <row r="32" spans="1:19" x14ac:dyDescent="0.2">
      <c r="A32" s="7" t="s">
        <v>168</v>
      </c>
      <c r="B32" s="12">
        <f>'01_Raw_Data_BMW'!B38</f>
        <v>16752</v>
      </c>
      <c r="C32" s="9">
        <f>'01_Raw_Data_Mercedes'!B50</f>
        <v>94240</v>
      </c>
      <c r="D32" s="9">
        <f>'01_Raw_Data_Volkswagen'!B53</f>
        <v>203054</v>
      </c>
      <c r="E32" s="9">
        <f>'01_Raw_Data_BMW'!C38</f>
        <v>16675</v>
      </c>
      <c r="F32" s="9">
        <f>'01_Raw_Data_Mercedes'!C50</f>
        <v>93630</v>
      </c>
      <c r="G32" s="9">
        <f>'01_Raw_Data_Volkswagen'!C53</f>
        <v>196731</v>
      </c>
      <c r="H32" s="9">
        <f>'01_Raw_Data_BMW'!D38</f>
        <v>17932</v>
      </c>
      <c r="I32" s="9">
        <f>'01_Raw_Data_Mercedes'!D50</f>
        <v>92816</v>
      </c>
      <c r="J32" s="9">
        <f>'01_Raw_Data_Volkswagen'!D53</f>
        <v>189912</v>
      </c>
      <c r="K32" s="9">
        <f>'01_Raw_Data_BMW'!E38</f>
        <v>20218</v>
      </c>
      <c r="L32" s="9">
        <f>'01_Raw_Data_Mercedes'!E50</f>
        <v>86540</v>
      </c>
      <c r="M32" s="9">
        <f>'01_Raw_Data_Volkswagen'!E53</f>
        <v>178328</v>
      </c>
      <c r="N32" s="9">
        <f>'01_Raw_Data_BMW'!F38</f>
        <v>18927</v>
      </c>
      <c r="O32" s="9">
        <f>'01_Raw_Data_Mercedes'!F50</f>
        <v>73167</v>
      </c>
      <c r="P32" s="9">
        <f>'01_Raw_Data_Volkswagen'!F53</f>
        <v>146154</v>
      </c>
      <c r="Q32" s="12">
        <f>'01_Raw_Data_BMW'!G38</f>
        <v>15165</v>
      </c>
      <c r="R32" s="9">
        <f>'01_Raw_Data_Mercedes'!G50</f>
        <v>62248</v>
      </c>
      <c r="S32" s="9">
        <f>'01_Raw_Data_Volkswagen'!G53</f>
        <v>128783</v>
      </c>
    </row>
    <row r="33" spans="1:19" x14ac:dyDescent="0.2">
      <c r="A33" s="6" t="s">
        <v>54</v>
      </c>
      <c r="B33" s="11">
        <f>'01_Raw_Data_BMW'!B41</f>
        <v>12050</v>
      </c>
      <c r="C33" s="8">
        <f>'01_Raw_Data_Mercedes'!B76</f>
        <v>16265</v>
      </c>
      <c r="D33" s="8">
        <f>'01_Raw_Data_Volkswagen'!B77</f>
        <v>79848</v>
      </c>
      <c r="E33" s="8">
        <f>'01_Raw_Data_BMW'!C41</f>
        <v>12508</v>
      </c>
      <c r="F33" s="8">
        <f>'01_Raw_Data_Mercedes'!C76</f>
        <v>15972</v>
      </c>
      <c r="G33" s="8">
        <f>'01_Raw_Data_Volkswagen'!C77</f>
        <v>84448</v>
      </c>
      <c r="H33" s="8">
        <f>'01_Raw_Data_BMW'!D41</f>
        <v>13768</v>
      </c>
      <c r="I33" s="8">
        <f>'01_Raw_Data_Mercedes'!D76</f>
        <v>16390</v>
      </c>
      <c r="J33" s="8">
        <f>'01_Raw_Data_Volkswagen'!D77</f>
        <v>81139</v>
      </c>
      <c r="K33" s="8">
        <f>'01_Raw_Data_BMW'!E41</f>
        <v>14557</v>
      </c>
      <c r="L33" s="8">
        <f>'01_Raw_Data_Mercedes'!E76</f>
        <v>17044</v>
      </c>
      <c r="M33" s="8">
        <f>'01_Raw_Data_Volkswagen'!E77</f>
        <v>80338</v>
      </c>
      <c r="N33" s="8">
        <f>'01_Raw_Data_BMW'!F41</f>
        <v>10417</v>
      </c>
      <c r="O33" s="8">
        <f>'01_Raw_Data_Mercedes'!F76</f>
        <v>21321</v>
      </c>
      <c r="P33" s="8">
        <f>'01_Raw_Data_Volkswagen'!F77</f>
        <v>96857</v>
      </c>
      <c r="Q33" s="11">
        <f>'01_Raw_Data_BMW'!G41</f>
        <v>10322</v>
      </c>
      <c r="R33" s="8">
        <f>'01_Raw_Data_Mercedes'!G76</f>
        <v>32520</v>
      </c>
      <c r="S33" s="8">
        <f>'01_Raw_Data_Volkswagen'!G77</f>
        <v>96238</v>
      </c>
    </row>
    <row r="34" spans="1:19" x14ac:dyDescent="0.2">
      <c r="A34" s="6" t="s">
        <v>169</v>
      </c>
      <c r="B34" s="11">
        <f>'01_Raw_Data_BMW'!B42+'01_Raw_Data_BMW'!B44</f>
        <v>28358</v>
      </c>
      <c r="C34" s="8">
        <f>'01_Raw_Data_Mercedes'!B77</f>
        <v>100006</v>
      </c>
      <c r="D34" s="8">
        <f>'01_Raw_Data_Volkswagen'!B78</f>
        <v>264703</v>
      </c>
      <c r="E34" s="8">
        <f>'01_Raw_Data_BMW'!C42+'01_Raw_Data_BMW'!C44</f>
        <v>23949</v>
      </c>
      <c r="F34" s="8">
        <f>'01_Raw_Data_Mercedes'!C77</f>
        <v>112798</v>
      </c>
      <c r="G34" s="8">
        <f>'01_Raw_Data_Volkswagen'!C78</f>
        <v>254081</v>
      </c>
      <c r="H34" s="8">
        <f>'01_Raw_Data_BMW'!D42+'01_Raw_Data_BMW'!D44</f>
        <v>22683</v>
      </c>
      <c r="I34" s="8">
        <f>'01_Raw_Data_Mercedes'!D77</f>
        <v>108638</v>
      </c>
      <c r="J34" s="8">
        <f>'01_Raw_Data_Volkswagen'!D78</f>
        <v>232799</v>
      </c>
      <c r="K34" s="8">
        <f>'01_Raw_Data_BMW'!E42+'01_Raw_Data_BMW'!E44</f>
        <v>25704</v>
      </c>
      <c r="L34" s="8">
        <f>'01_Raw_Data_Mercedes'!E77</f>
        <v>111837</v>
      </c>
      <c r="M34" s="8">
        <f>'01_Raw_Data_Volkswagen'!E78</f>
        <v>205185</v>
      </c>
      <c r="N34" s="8">
        <f>'01_Raw_Data_BMW'!F42+'01_Raw_Data_BMW'!F44</f>
        <v>24463</v>
      </c>
      <c r="O34" s="8">
        <f>'01_Raw_Data_Mercedes'!F77</f>
        <v>125843</v>
      </c>
      <c r="P34" s="8">
        <f>'01_Raw_Data_Volkswagen'!F78</f>
        <v>210202</v>
      </c>
      <c r="Q34" s="11">
        <f>'01_Raw_Data_BMW'!G42+'01_Raw_Data_BMW'!G44</f>
        <v>23505</v>
      </c>
      <c r="R34" s="8">
        <f>'01_Raw_Data_Mercedes'!G77</f>
        <v>145842</v>
      </c>
      <c r="S34" s="8">
        <f>'01_Raw_Data_Volkswagen'!G78</f>
        <v>203457</v>
      </c>
    </row>
    <row r="35" spans="1:19" x14ac:dyDescent="0.2">
      <c r="A35" s="6" t="s">
        <v>87</v>
      </c>
      <c r="B35" s="11">
        <f>'01_Raw_Data_BMW'!B43</f>
        <v>7097</v>
      </c>
      <c r="C35" s="8">
        <f>'01_Raw_Data_Mercedes'!B61</f>
        <v>10665</v>
      </c>
      <c r="D35" s="8">
        <f>'01_Raw_Data_Volkswagen'!B63</f>
        <v>30490</v>
      </c>
      <c r="E35" s="8">
        <f>'01_Raw_Data_BMW'!C43</f>
        <v>6892</v>
      </c>
      <c r="F35" s="8">
        <f>'01_Raw_Data_Mercedes'!C61</f>
        <v>11312</v>
      </c>
      <c r="G35" s="8">
        <f>'01_Raw_Data_Volkswagen'!C63</f>
        <v>29772</v>
      </c>
      <c r="H35" s="8">
        <f>'01_Raw_Data_BMW'!D43</f>
        <v>7552</v>
      </c>
      <c r="I35" s="8">
        <f>'01_Raw_Data_Mercedes'!D61</f>
        <v>12828</v>
      </c>
      <c r="J35" s="8">
        <f>'01_Raw_Data_Volkswagen'!D63</f>
        <v>30901</v>
      </c>
      <c r="K35" s="8">
        <f>'01_Raw_Data_BMW'!E43</f>
        <v>6786</v>
      </c>
      <c r="L35" s="8">
        <f>'01_Raw_Data_Mercedes'!E61</f>
        <v>12204</v>
      </c>
      <c r="M35" s="8">
        <f>'01_Raw_Data_Volkswagen'!E63</f>
        <v>28738</v>
      </c>
      <c r="N35" s="8">
        <f>'01_Raw_Data_BMW'!F43</f>
        <v>6531</v>
      </c>
      <c r="O35" s="8">
        <f>'01_Raw_Data_Mercedes'!F61</f>
        <v>10655</v>
      </c>
      <c r="P35" s="8">
        <f>'01_Raw_Data_Volkswagen'!F63</f>
        <v>23624</v>
      </c>
      <c r="Q35" s="11">
        <f>'01_Raw_Data_BMW'!G43</f>
        <v>4785</v>
      </c>
      <c r="R35" s="8">
        <f>'01_Raw_Data_Mercedes'!G61</f>
        <v>12378</v>
      </c>
      <c r="S35" s="8">
        <f>'01_Raw_Data_Volkswagen'!G63</f>
        <v>22677</v>
      </c>
    </row>
    <row r="36" spans="1:19" x14ac:dyDescent="0.2">
      <c r="A36" s="6" t="s">
        <v>170</v>
      </c>
      <c r="B36" s="11">
        <f>'01_Raw_Data_BMW'!B45+'01_Raw_Data_BMW'!B47</f>
        <v>5449</v>
      </c>
      <c r="C36" s="8">
        <f>'01_Raw_Data_Mercedes'!B78</f>
        <v>34290</v>
      </c>
      <c r="D36" s="8">
        <f>'01_Raw_Data_Volkswagen'!B79</f>
        <v>66372</v>
      </c>
      <c r="E36" s="8">
        <f>'01_Raw_Data_BMW'!C45+'01_Raw_Data_BMW'!C47</f>
        <v>6523</v>
      </c>
      <c r="F36" s="8">
        <f>'01_Raw_Data_Mercedes'!C78</f>
        <v>31298</v>
      </c>
      <c r="G36" s="8">
        <f>'01_Raw_Data_Volkswagen'!C79</f>
        <v>67872</v>
      </c>
      <c r="H36" s="8">
        <f>'01_Raw_Data_BMW'!D45+'01_Raw_Data_BMW'!D47</f>
        <v>5865</v>
      </c>
      <c r="I36" s="8">
        <f>'01_Raw_Data_Mercedes'!D78</f>
        <v>32350</v>
      </c>
      <c r="J36" s="8">
        <f>'01_Raw_Data_Volkswagen'!D79</f>
        <v>65588</v>
      </c>
      <c r="K36" s="8">
        <f>'01_Raw_Data_BMW'!E45+'01_Raw_Data_BMW'!E47</f>
        <v>4953</v>
      </c>
      <c r="L36" s="8">
        <f>'01_Raw_Data_Mercedes'!E78</f>
        <v>32390</v>
      </c>
      <c r="M36" s="8">
        <f>'01_Raw_Data_Volkswagen'!E79</f>
        <v>71424</v>
      </c>
      <c r="N36" s="8">
        <f>'01_Raw_Data_BMW'!F45+'01_Raw_Data_BMW'!F47</f>
        <v>4341</v>
      </c>
      <c r="O36" s="8">
        <f>'01_Raw_Data_Mercedes'!F78</f>
        <v>28845</v>
      </c>
      <c r="P36" s="8">
        <f>'01_Raw_Data_Volkswagen'!F79</f>
        <v>51771</v>
      </c>
      <c r="Q36" s="11">
        <f>'01_Raw_Data_BMW'!G45+'01_Raw_Data_BMW'!G47</f>
        <v>3836</v>
      </c>
      <c r="R36" s="8">
        <f>'01_Raw_Data_Mercedes'!G78</f>
        <v>32749</v>
      </c>
      <c r="S36" s="8">
        <f>'01_Raw_Data_Volkswagen'!G79</f>
        <v>45961</v>
      </c>
    </row>
    <row r="37" spans="1:19" x14ac:dyDescent="0.2">
      <c r="A37" s="7" t="s">
        <v>78</v>
      </c>
      <c r="B37" s="12">
        <f>'01_Raw_Data_BMW'!B46</f>
        <v>36043</v>
      </c>
      <c r="C37" s="9">
        <f>'01_Raw_Data_Mercedes'!B70</f>
        <v>73768</v>
      </c>
      <c r="D37" s="9">
        <f>'01_Raw_Data_Volkswagen'!B70</f>
        <v>226525</v>
      </c>
      <c r="E37" s="12">
        <f>'01_Raw_Data_BMW'!C46</f>
        <v>32635</v>
      </c>
      <c r="F37" s="9">
        <f>'01_Raw_Data_Mercedes'!C70</f>
        <v>74826</v>
      </c>
      <c r="G37" s="9">
        <f>'01_Raw_Data_Volkswagen'!C70</f>
        <v>217039</v>
      </c>
      <c r="H37" s="12">
        <f>'01_Raw_Data_BMW'!D46</f>
        <v>31599</v>
      </c>
      <c r="I37" s="9">
        <f>'01_Raw_Data_Mercedes'!D70</f>
        <v>82434</v>
      </c>
      <c r="J37" s="9">
        <f>'01_Raw_Data_Volkswagen'!D70</f>
        <v>205874</v>
      </c>
      <c r="K37" s="12">
        <f>'01_Raw_Data_BMW'!E46</f>
        <v>33392</v>
      </c>
      <c r="L37" s="9">
        <f>'01_Raw_Data_Mercedes'!E70</f>
        <v>88403</v>
      </c>
      <c r="M37" s="9">
        <f>'01_Raw_Data_Volkswagen'!E70</f>
        <v>182723</v>
      </c>
      <c r="N37" s="12">
        <f>'01_Raw_Data_BMW'!F46</f>
        <v>31456</v>
      </c>
      <c r="O37" s="9">
        <f>'01_Raw_Data_Mercedes'!F70</f>
        <v>87675</v>
      </c>
      <c r="P37" s="9">
        <f>'01_Raw_Data_Volkswagen'!F70</f>
        <v>164393</v>
      </c>
      <c r="Q37" s="12">
        <f>'01_Raw_Data_BMW'!G46</f>
        <v>28511</v>
      </c>
      <c r="R37" s="9">
        <f>'01_Raw_Data_Mercedes'!G70</f>
        <v>99809</v>
      </c>
      <c r="S37" s="9">
        <f>'01_Raw_Data_Volkswagen'!G70</f>
        <v>165410</v>
      </c>
    </row>
    <row r="38" spans="1:19" x14ac:dyDescent="0.2">
      <c r="A38" s="7" t="s">
        <v>171</v>
      </c>
      <c r="B38" s="12">
        <f t="shared" ref="B38:P38" si="5">SUM(B33:B36)</f>
        <v>52954</v>
      </c>
      <c r="C38" s="9">
        <f t="shared" si="5"/>
        <v>161226</v>
      </c>
      <c r="D38" s="9">
        <f t="shared" si="5"/>
        <v>441413</v>
      </c>
      <c r="E38" s="9">
        <f t="shared" si="5"/>
        <v>49872</v>
      </c>
      <c r="F38" s="9">
        <f t="shared" si="5"/>
        <v>171380</v>
      </c>
      <c r="G38" s="9">
        <f t="shared" si="5"/>
        <v>436173</v>
      </c>
      <c r="H38" s="9">
        <f t="shared" si="5"/>
        <v>49868</v>
      </c>
      <c r="I38" s="9">
        <f t="shared" si="5"/>
        <v>170206</v>
      </c>
      <c r="J38" s="9">
        <f t="shared" si="5"/>
        <v>410427</v>
      </c>
      <c r="K38" s="9">
        <f t="shared" si="5"/>
        <v>52000</v>
      </c>
      <c r="L38" s="9">
        <f t="shared" si="5"/>
        <v>173475</v>
      </c>
      <c r="M38" s="9">
        <f t="shared" si="5"/>
        <v>385685</v>
      </c>
      <c r="N38" s="9">
        <f t="shared" si="5"/>
        <v>45752</v>
      </c>
      <c r="O38" s="9">
        <f t="shared" si="5"/>
        <v>186664</v>
      </c>
      <c r="P38" s="9">
        <f t="shared" si="5"/>
        <v>382454</v>
      </c>
      <c r="Q38" s="12">
        <f t="shared" ref="Q38:S38" si="6">SUM(Q33:Q36)</f>
        <v>42448</v>
      </c>
      <c r="R38" s="9">
        <f t="shared" si="6"/>
        <v>223489</v>
      </c>
      <c r="S38" s="9">
        <f t="shared" si="6"/>
        <v>368333</v>
      </c>
    </row>
    <row r="39" spans="1:19" x14ac:dyDescent="0.2">
      <c r="A39" s="15" t="s">
        <v>172</v>
      </c>
      <c r="B39" s="17">
        <f>'01_Raw_Data_BMW'!B48</f>
        <v>69728</v>
      </c>
      <c r="C39" s="16">
        <f>'01_Raw_Data_Mercedes'!B72</f>
        <v>255466</v>
      </c>
      <c r="D39" s="16">
        <f>'01_Raw_Data_Volkswagen'!B72</f>
        <v>644467</v>
      </c>
      <c r="E39" s="16">
        <f>'01_Raw_Data_BMW'!C48</f>
        <v>66570</v>
      </c>
      <c r="F39" s="16">
        <f>'01_Raw_Data_Mercedes'!C72</f>
        <v>265010</v>
      </c>
      <c r="G39" s="16">
        <f>'01_Raw_Data_Volkswagen'!C72</f>
        <v>632905</v>
      </c>
      <c r="H39" s="16">
        <f>'01_Raw_Data_BMW'!D48</f>
        <v>67824</v>
      </c>
      <c r="I39" s="16">
        <f>'01_Raw_Data_Mercedes'!D72</f>
        <v>263022</v>
      </c>
      <c r="J39" s="16">
        <f>'01_Raw_Data_Volkswagen'!D72</f>
        <v>600338</v>
      </c>
      <c r="K39" s="16">
        <f>'01_Raw_Data_BMW'!E48</f>
        <v>72243</v>
      </c>
      <c r="L39" s="16">
        <f>'01_Raw_Data_Mercedes'!E72</f>
        <v>260015</v>
      </c>
      <c r="M39" s="16">
        <f>'01_Raw_Data_Volkswagen'!E72</f>
        <v>564013</v>
      </c>
      <c r="N39" s="16">
        <f>'01_Raw_Data_BMW'!F48</f>
        <v>64705</v>
      </c>
      <c r="O39" s="16">
        <f>'01_Raw_Data_Mercedes'!F72</f>
        <v>259831</v>
      </c>
      <c r="P39" s="16">
        <f>'01_Raw_Data_Volkswagen'!F72</f>
        <v>528609</v>
      </c>
      <c r="Q39" s="17">
        <f>'01_Raw_Data_BMW'!G48</f>
        <v>57640</v>
      </c>
      <c r="R39" s="16">
        <f>'01_Raw_Data_Mercedes'!G72</f>
        <v>285737</v>
      </c>
      <c r="S39" s="16">
        <f>'01_Raw_Data_Volkswagen'!G72</f>
        <v>497114</v>
      </c>
    </row>
    <row r="41" spans="1:19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9" x14ac:dyDescent="0.2">
      <c r="A42" s="2" t="s">
        <v>196</v>
      </c>
      <c r="B42" s="9">
        <f>'01_Raw_Data_BMW'!B53</f>
        <v>68149</v>
      </c>
      <c r="C42" s="9">
        <f>'01_Raw_Data_Mercedes'!B85</f>
        <v>260238</v>
      </c>
      <c r="D42" s="9">
        <f>'01_Raw_Data_Volkswagen'!B86</f>
        <v>638686</v>
      </c>
      <c r="E42" s="9">
        <f>'01_Raw_Data_BMW'!C53</f>
        <v>67197</v>
      </c>
      <c r="F42" s="9">
        <f>'01_Raw_Data_Mercedes'!C85</f>
        <v>264016</v>
      </c>
      <c r="G42" s="9">
        <f>'01_Raw_Data_Volkswagen'!C86</f>
        <v>616621.5</v>
      </c>
      <c r="H42" s="9">
        <f>'01_Raw_Data_BMW'!D53</f>
        <v>70033.5</v>
      </c>
      <c r="I42" s="9">
        <f>'01_Raw_Data_Mercedes'!D85</f>
        <v>261518.5</v>
      </c>
      <c r="J42" s="9">
        <f>'01_Raw_Data_Volkswagen'!D86</f>
        <v>582175.5</v>
      </c>
      <c r="K42" s="9">
        <f>'01_Raw_Data_BMW'!E53</f>
        <v>68474</v>
      </c>
      <c r="L42" s="9">
        <f>'01_Raw_Data_Mercedes'!E85</f>
        <v>259923</v>
      </c>
      <c r="M42" s="9">
        <f>'01_Raw_Data_Volkswagen'!E86</f>
        <v>546311</v>
      </c>
      <c r="N42" s="9">
        <f>'01_Raw_Data_BMW'!F53</f>
        <v>61172.5</v>
      </c>
      <c r="O42" s="9">
        <f>'01_Raw_Data_Mercedes'!F85</f>
        <v>272784</v>
      </c>
      <c r="P42" s="9">
        <f>'01_Raw_Data_Volkswagen'!F86</f>
        <v>512861.5</v>
      </c>
    </row>
  </sheetData>
  <mergeCells count="12">
    <mergeCell ref="Q2:S2"/>
    <mergeCell ref="Q17:S17"/>
    <mergeCell ref="B17:D17"/>
    <mergeCell ref="E17:G17"/>
    <mergeCell ref="H17:J17"/>
    <mergeCell ref="K17:M17"/>
    <mergeCell ref="N17:P17"/>
    <mergeCell ref="B2:D2"/>
    <mergeCell ref="E2:G2"/>
    <mergeCell ref="H2:J2"/>
    <mergeCell ref="K2:M2"/>
    <mergeCell ref="N2:P2"/>
  </mergeCells>
  <pageMargins left="0.7" right="0.7" top="0.75" bottom="0.75" header="0.3" footer="0.3"/>
  <ignoredErrors>
    <ignoredError sqref="B7:C7 D7:F7 G7:I7 J7:L7 M7:S7" formulaRange="1"/>
    <ignoredError sqref="B9 C9 D9:F9 G9:I9 J9:L9 M9:S9" formula="1" formulaRange="1"/>
    <ignoredError sqref="E39 H39 K39 N3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5398-CFD5-4FCF-8D54-8E2A1A7954B1}">
  <sheetPr>
    <tabColor theme="0" tint="-0.249977111117893"/>
  </sheetPr>
  <dimension ref="A2:Q41"/>
  <sheetViews>
    <sheetView workbookViewId="0">
      <selection activeCell="J6" sqref="J6"/>
    </sheetView>
  </sheetViews>
  <sheetFormatPr defaultRowHeight="12.75" x14ac:dyDescent="0.2"/>
  <cols>
    <col min="1" max="1" width="43.5703125" style="1" bestFit="1" customWidth="1"/>
    <col min="2" max="2" width="7.5703125" style="1" bestFit="1" customWidth="1"/>
    <col min="3" max="3" width="9.7109375" style="1" bestFit="1" customWidth="1"/>
    <col min="4" max="4" width="12" style="1" bestFit="1" customWidth="1"/>
    <col min="5" max="5" width="7.5703125" style="1" bestFit="1" customWidth="1"/>
    <col min="6" max="6" width="9.7109375" style="1" bestFit="1" customWidth="1"/>
    <col min="7" max="7" width="12" style="1" bestFit="1" customWidth="1"/>
    <col min="8" max="8" width="7.5703125" style="1" bestFit="1" customWidth="1"/>
    <col min="9" max="9" width="9.7109375" style="1" bestFit="1" customWidth="1"/>
    <col min="10" max="10" width="12" style="1" bestFit="1" customWidth="1"/>
    <col min="11" max="11" width="7.5703125" style="1" bestFit="1" customWidth="1"/>
    <col min="12" max="12" width="9.7109375" style="1" bestFit="1" customWidth="1"/>
    <col min="13" max="13" width="12" style="1" bestFit="1" customWidth="1"/>
    <col min="14" max="14" width="7.5703125" style="1" bestFit="1" customWidth="1"/>
    <col min="15" max="15" width="9.7109375" style="1" bestFit="1" customWidth="1"/>
    <col min="16" max="16" width="12" style="1" bestFit="1" customWidth="1"/>
    <col min="17" max="16384" width="9.140625" style="1"/>
  </cols>
  <sheetData>
    <row r="2" spans="1:17" x14ac:dyDescent="0.2">
      <c r="A2" s="5" t="s">
        <v>153</v>
      </c>
      <c r="B2" s="44">
        <v>2025</v>
      </c>
      <c r="C2" s="44"/>
      <c r="D2" s="44"/>
      <c r="E2" s="44">
        <v>2024</v>
      </c>
      <c r="F2" s="44"/>
      <c r="G2" s="44"/>
      <c r="H2" s="44">
        <v>2023</v>
      </c>
      <c r="I2" s="44"/>
      <c r="J2" s="44"/>
      <c r="K2" s="44">
        <v>2022</v>
      </c>
      <c r="L2" s="44"/>
      <c r="M2" s="44"/>
      <c r="N2" s="44">
        <v>2021</v>
      </c>
      <c r="O2" s="44"/>
      <c r="P2" s="44"/>
    </row>
    <row r="3" spans="1:17" x14ac:dyDescent="0.2">
      <c r="A3" s="5" t="s">
        <v>0</v>
      </c>
      <c r="B3" s="13" t="s">
        <v>150</v>
      </c>
      <c r="C3" s="14" t="s">
        <v>151</v>
      </c>
      <c r="D3" s="14" t="s">
        <v>152</v>
      </c>
      <c r="E3" s="13" t="s">
        <v>150</v>
      </c>
      <c r="F3" s="14" t="s">
        <v>151</v>
      </c>
      <c r="G3" s="13" t="s">
        <v>152</v>
      </c>
      <c r="H3" s="14" t="s">
        <v>150</v>
      </c>
      <c r="I3" s="13" t="s">
        <v>151</v>
      </c>
      <c r="J3" s="13" t="s">
        <v>152</v>
      </c>
      <c r="K3" s="14" t="s">
        <v>150</v>
      </c>
      <c r="L3" s="13" t="s">
        <v>151</v>
      </c>
      <c r="M3" s="13" t="s">
        <v>152</v>
      </c>
      <c r="N3" s="14" t="s">
        <v>150</v>
      </c>
      <c r="O3" s="14" t="s">
        <v>151</v>
      </c>
      <c r="P3" s="14" t="s">
        <v>152</v>
      </c>
    </row>
    <row r="4" spans="1:17" x14ac:dyDescent="0.2">
      <c r="A4" s="6" t="s">
        <v>126</v>
      </c>
      <c r="B4" s="8">
        <f>'01_All_Raw_Data'!B4</f>
        <v>98805</v>
      </c>
      <c r="C4" s="8">
        <f>'01_All_Raw_Data'!C4</f>
        <v>132214</v>
      </c>
      <c r="D4" s="8">
        <f>'01_All_Raw_Data'!D4</f>
        <v>321913</v>
      </c>
      <c r="E4" s="8">
        <f>'01_All_Raw_Data'!E4</f>
        <v>105317</v>
      </c>
      <c r="F4" s="8">
        <f>'01_All_Raw_Data'!F4</f>
        <v>145594</v>
      </c>
      <c r="G4" s="8">
        <f>'01_All_Raw_Data'!G4</f>
        <v>324656</v>
      </c>
      <c r="H4" s="8">
        <f>'01_All_Raw_Data'!H4</f>
        <v>107874</v>
      </c>
      <c r="I4" s="8">
        <f>'01_All_Raw_Data'!I4</f>
        <v>153218</v>
      </c>
      <c r="J4" s="8">
        <f>'01_All_Raw_Data'!J4</f>
        <v>322284</v>
      </c>
      <c r="K4" s="8">
        <f>'01_All_Raw_Data'!K4</f>
        <v>98807</v>
      </c>
      <c r="L4" s="8">
        <f>'01_All_Raw_Data'!L4</f>
        <v>150017</v>
      </c>
      <c r="M4" s="8">
        <f>'01_All_Raw_Data'!M4</f>
        <v>279050</v>
      </c>
      <c r="N4" s="8">
        <f>'01_All_Raw_Data'!N4</f>
        <v>88526</v>
      </c>
      <c r="O4" s="8">
        <f>'01_All_Raw_Data'!O4</f>
        <v>133893</v>
      </c>
      <c r="P4" s="8">
        <f>'01_All_Raw_Data'!P4</f>
        <v>250200</v>
      </c>
      <c r="Q4" s="19">
        <v>1</v>
      </c>
    </row>
    <row r="5" spans="1:17" x14ac:dyDescent="0.2">
      <c r="A5" s="6" t="s">
        <v>195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19"/>
    </row>
    <row r="6" spans="1:17" x14ac:dyDescent="0.2">
      <c r="A6" s="6" t="s">
        <v>154</v>
      </c>
      <c r="B6" s="20">
        <f>'01_All_Raw_Data'!B5/'02_Common_Size_IS_BS'!B$4</f>
        <v>-0.84921815697586156</v>
      </c>
      <c r="C6" s="20">
        <f>'01_All_Raw_Data'!C5/'02_Common_Size_IS_BS'!C$4</f>
        <v>-0.83108445399125663</v>
      </c>
      <c r="D6" s="20">
        <f>'01_All_Raw_Data'!D5/'02_Common_Size_IS_BS'!D$4</f>
        <v>-0.84082034586984677</v>
      </c>
      <c r="E6" s="20">
        <f>'01_All_Raw_Data'!E5/'02_Common_Size_IS_BS'!E$4</f>
        <v>-0.83760456526486704</v>
      </c>
      <c r="F6" s="20">
        <f>'01_All_Raw_Data'!F5/'02_Common_Size_IS_BS'!F$4</f>
        <v>-0.80372817561163235</v>
      </c>
      <c r="G6" s="20">
        <f>'01_All_Raw_Data'!G5/'02_Common_Size_IS_BS'!G$4</f>
        <v>-0.81681533684884922</v>
      </c>
      <c r="H6" s="20">
        <f>'01_All_Raw_Data'!H5/'02_Common_Size_IS_BS'!H$4</f>
        <v>-0.84232530544894968</v>
      </c>
      <c r="I6" s="20">
        <f>'01_All_Raw_Data'!I5/'02_Common_Size_IS_BS'!I$4</f>
        <v>-0.77562035792139306</v>
      </c>
      <c r="J6" s="20">
        <f>'01_All_Raw_Data'!J5/'02_Common_Size_IS_BS'!J$4</f>
        <v>-0.81065768080326672</v>
      </c>
      <c r="K6" s="20">
        <f>'01_All_Raw_Data'!K5/'02_Common_Size_IS_BS'!K$4</f>
        <v>-0.82638881860596924</v>
      </c>
      <c r="L6" s="20">
        <f>'01_All_Raw_Data'!L5/'02_Common_Size_IS_BS'!L$4</f>
        <v>-0.77322570108721012</v>
      </c>
      <c r="M6" s="20">
        <f>'01_All_Raw_Data'!M5/'02_Common_Size_IS_BS'!M$4</f>
        <v>-0.81299408708116827</v>
      </c>
      <c r="N6" s="20">
        <f>'01_All_Raw_Data'!N5/'02_Common_Size_IS_BS'!N$4</f>
        <v>-0.81651718139303708</v>
      </c>
      <c r="O6" s="20">
        <f>'01_All_Raw_Data'!O5/'02_Common_Size_IS_BS'!O$4</f>
        <v>-0.77089915081445637</v>
      </c>
      <c r="P6" s="20">
        <f>'01_All_Raw_Data'!P5/'02_Common_Size_IS_BS'!P$4</f>
        <v>-0.81118705035971228</v>
      </c>
    </row>
    <row r="7" spans="1:17" x14ac:dyDescent="0.2">
      <c r="A7" s="15" t="s">
        <v>155</v>
      </c>
      <c r="B7" s="21">
        <f>'01_All_Raw_Data'!B6/'02_Common_Size_IS_BS'!B$4</f>
        <v>0.15078184302413847</v>
      </c>
      <c r="C7" s="21">
        <f>'01_All_Raw_Data'!C6/'02_Common_Size_IS_BS'!C$4</f>
        <v>0.16891554600874339</v>
      </c>
      <c r="D7" s="21">
        <f>'01_All_Raw_Data'!D6/'02_Common_Size_IS_BS'!D$4</f>
        <v>0.15918276055953007</v>
      </c>
      <c r="E7" s="21">
        <f>'01_All_Raw_Data'!E6/'02_Common_Size_IS_BS'!E$4</f>
        <v>0.16239543473513299</v>
      </c>
      <c r="F7" s="21">
        <f>'01_All_Raw_Data'!F6/'02_Common_Size_IS_BS'!F$4</f>
        <v>0.19627182438836765</v>
      </c>
      <c r="G7" s="21">
        <f>'01_All_Raw_Data'!G6/'02_Common_Size_IS_BS'!G$4</f>
        <v>0.18318466315115076</v>
      </c>
      <c r="H7" s="21">
        <f>'01_All_Raw_Data'!H6/'02_Common_Size_IS_BS'!H$4</f>
        <v>0.15767469455105029</v>
      </c>
      <c r="I7" s="21">
        <f>'01_All_Raw_Data'!I6/'02_Common_Size_IS_BS'!I$4</f>
        <v>0.22437964207860694</v>
      </c>
      <c r="J7" s="21">
        <f>'01_All_Raw_Data'!J6/'02_Common_Size_IS_BS'!J$4</f>
        <v>0.18934231919673331</v>
      </c>
      <c r="K7" s="21">
        <f>'01_All_Raw_Data'!K6/'02_Common_Size_IS_BS'!K$4</f>
        <v>0.17361118139403078</v>
      </c>
      <c r="L7" s="21">
        <f>'01_All_Raw_Data'!L6/'02_Common_Size_IS_BS'!L$4</f>
        <v>0.22677429891278988</v>
      </c>
      <c r="M7" s="21">
        <f>'01_All_Raw_Data'!M6/'02_Common_Size_IS_BS'!M$4</f>
        <v>0.18700591291883176</v>
      </c>
      <c r="N7" s="21">
        <f>'01_All_Raw_Data'!N6/'02_Common_Size_IS_BS'!N$4</f>
        <v>0.18348281860696292</v>
      </c>
      <c r="O7" s="21">
        <f>'01_All_Raw_Data'!O6/'02_Common_Size_IS_BS'!O$4</f>
        <v>0.22910084918554369</v>
      </c>
      <c r="P7" s="21">
        <f>'01_All_Raw_Data'!P6/'02_Common_Size_IS_BS'!P$4</f>
        <v>0.18881294964028777</v>
      </c>
    </row>
    <row r="8" spans="1:17" x14ac:dyDescent="0.2">
      <c r="A8" s="7" t="s">
        <v>158</v>
      </c>
      <c r="B8" s="22">
        <f>'01_All_Raw_Data'!B7/'02_Common_Size_IS_BS'!B$4</f>
        <v>-0.1535448610900258</v>
      </c>
      <c r="C8" s="22">
        <f>'01_All_Raw_Data'!C7/'02_Common_Size_IS_BS'!C$4</f>
        <v>-0.13405539504137232</v>
      </c>
      <c r="D8" s="22">
        <f>'01_All_Raw_Data'!D7/'02_Common_Size_IS_BS'!D$4</f>
        <v>-0.13163183841596954</v>
      </c>
      <c r="E8" s="22">
        <f>'01_All_Raw_Data'!E7/'02_Common_Size_IS_BS'!E$4</f>
        <v>-0.1570021933780871</v>
      </c>
      <c r="F8" s="22">
        <f>'01_All_Raw_Data'!F7/'02_Common_Size_IS_BS'!F$4</f>
        <v>-0.11043037487808563</v>
      </c>
      <c r="G8" s="22">
        <f>'01_All_Raw_Data'!G7/'02_Common_Size_IS_BS'!G$4</f>
        <v>-0.12447636883347298</v>
      </c>
      <c r="H8" s="22">
        <f>'01_All_Raw_Data'!H7/'02_Common_Size_IS_BS'!H$4</f>
        <v>-0.13966294009677957</v>
      </c>
      <c r="I8" s="22">
        <f>'01_All_Raw_Data'!I7/'02_Common_Size_IS_BS'!I$4</f>
        <v>-0.1106658486600791</v>
      </c>
      <c r="J8" s="22">
        <f>'01_All_Raw_Data'!J7/'02_Common_Size_IS_BS'!J$4</f>
        <v>-0.11929230120018369</v>
      </c>
      <c r="K8" s="22">
        <f>'01_All_Raw_Data'!K7/'02_Common_Size_IS_BS'!K$4</f>
        <v>-0.15002985618427844</v>
      </c>
      <c r="L8" s="22">
        <f>'01_All_Raw_Data'!L7/'02_Common_Size_IS_BS'!L$4</f>
        <v>-0.10421485564969303</v>
      </c>
      <c r="M8" s="22">
        <f>'01_All_Raw_Data'!M7/'02_Common_Size_IS_BS'!M$4</f>
        <v>-0.10777280057337395</v>
      </c>
      <c r="N8" s="22">
        <f>'01_All_Raw_Data'!N7/'02_Common_Size_IS_BS'!N$4</f>
        <v>-0.14473713937148408</v>
      </c>
      <c r="O8" s="22">
        <f>'01_All_Raw_Data'!O7/'02_Common_Size_IS_BS'!O$4</f>
        <v>-0.12185849895065463</v>
      </c>
      <c r="P8" s="22">
        <f>'01_All_Raw_Data'!P7/'02_Common_Size_IS_BS'!P$4</f>
        <v>-0.11177458033573141</v>
      </c>
    </row>
    <row r="9" spans="1:17" x14ac:dyDescent="0.2">
      <c r="A9" s="7" t="s">
        <v>156</v>
      </c>
      <c r="B9" s="22">
        <f>'01_All_Raw_Data'!B8/'02_Common_Size_IS_BS'!B$4</f>
        <v>-2.7630180658873541E-3</v>
      </c>
      <c r="C9" s="22">
        <f>'01_All_Raw_Data'!C8/'02_Common_Size_IS_BS'!C$4</f>
        <v>3.4860150967371079E-2</v>
      </c>
      <c r="D9" s="22">
        <f>'01_All_Raw_Data'!D8/'02_Common_Size_IS_BS'!D$4</f>
        <v>2.7550922143560527E-2</v>
      </c>
      <c r="E9" s="22">
        <f>'01_All_Raw_Data'!E8/'02_Common_Size_IS_BS'!E$4</f>
        <v>5.3932413570458712E-3</v>
      </c>
      <c r="F9" s="22">
        <f>'01_All_Raw_Data'!F8/'02_Common_Size_IS_BS'!F$4</f>
        <v>8.5841449510282011E-2</v>
      </c>
      <c r="G9" s="22">
        <f>'01_All_Raw_Data'!G8/'02_Common_Size_IS_BS'!G$4</f>
        <v>5.8708294317677788E-2</v>
      </c>
      <c r="H9" s="22">
        <f>'01_All_Raw_Data'!H8/'02_Common_Size_IS_BS'!H$4</f>
        <v>1.8011754454270723E-2</v>
      </c>
      <c r="I9" s="22">
        <f>'01_All_Raw_Data'!I8/'02_Common_Size_IS_BS'!I$4</f>
        <v>0.11371379341852784</v>
      </c>
      <c r="J9" s="22">
        <f>'01_All_Raw_Data'!J8/'02_Common_Size_IS_BS'!J$4</f>
        <v>7.0050017996549627E-2</v>
      </c>
      <c r="K9" s="22">
        <f>'01_All_Raw_Data'!K8/'02_Common_Size_IS_BS'!K$4</f>
        <v>2.3581325209752344E-2</v>
      </c>
      <c r="L9" s="22">
        <f>'01_All_Raw_Data'!L8/'02_Common_Size_IS_BS'!L$4</f>
        <v>0.12255944326309685</v>
      </c>
      <c r="M9" s="22">
        <f>'01_All_Raw_Data'!M8/'02_Common_Size_IS_BS'!M$4</f>
        <v>7.923311234545781E-2</v>
      </c>
      <c r="N9" s="22">
        <f>'01_All_Raw_Data'!N8/'02_Common_Size_IS_BS'!N$4</f>
        <v>3.8745679235478843E-2</v>
      </c>
      <c r="O9" s="22">
        <f>'01_All_Raw_Data'!O8/'02_Common_Size_IS_BS'!O$4</f>
        <v>0.10724235023488905</v>
      </c>
      <c r="P9" s="22">
        <f>'01_All_Raw_Data'!P8/'02_Common_Size_IS_BS'!P$4</f>
        <v>7.7038369304556362E-2</v>
      </c>
    </row>
    <row r="10" spans="1:17" x14ac:dyDescent="0.2">
      <c r="A10" s="6" t="s">
        <v>159</v>
      </c>
      <c r="B10" s="20">
        <f>'01_All_Raw_Data'!B9/'02_Common_Size_IS_BS'!B$4</f>
        <v>4.556449572390061E-2</v>
      </c>
      <c r="C10" s="20">
        <f>'01_All_Raw_Data'!C9/'02_Common_Size_IS_BS'!C$4</f>
        <v>1.2668855038044383E-2</v>
      </c>
      <c r="D10" s="20">
        <f>'01_All_Raw_Data'!D9/'02_Common_Size_IS_BS'!D$4</f>
        <v>1.3637224964509044E-3</v>
      </c>
      <c r="E10" s="20">
        <f>'01_All_Raw_Data'!E9/'02_Common_Size_IS_BS'!E$4</f>
        <v>3.3603311905960102E-2</v>
      </c>
      <c r="F10" s="20">
        <f>'01_All_Raw_Data'!F9/'02_Common_Size_IS_BS'!F$4</f>
        <v>1.1326016181985522E-2</v>
      </c>
      <c r="G10" s="20">
        <f>'01_All_Raw_Data'!G9/'02_Common_Size_IS_BS'!G$4</f>
        <v>-6.9427332314819382E-3</v>
      </c>
      <c r="H10" s="20">
        <f>'01_All_Raw_Data'!H9/'02_Common_Size_IS_BS'!H$4</f>
        <v>3.2519420805754859E-2</v>
      </c>
      <c r="I10" s="20">
        <f>'01_All_Raw_Data'!I9/'02_Common_Size_IS_BS'!I$4</f>
        <v>1.7367411139683327E-2</v>
      </c>
      <c r="J10" s="20">
        <f>'01_All_Raw_Data'!J9/'02_Common_Size_IS_BS'!J$4</f>
        <v>1.9175633912946344E-3</v>
      </c>
      <c r="K10" s="20">
        <f>'01_All_Raw_Data'!K9/'02_Common_Size_IS_BS'!K$4</f>
        <v>5.6615421984272371E-2</v>
      </c>
      <c r="L10" s="20">
        <f>'01_All_Raw_Data'!L9/'02_Common_Size_IS_BS'!L$4</f>
        <v>1.2785217675330128E-2</v>
      </c>
      <c r="M10" s="20">
        <f>'01_All_Raw_Data'!M9/'02_Common_Size_IS_BS'!M$4</f>
        <v>-1.3975989965955921E-4</v>
      </c>
      <c r="N10" s="20">
        <f>'01_All_Raw_Data'!N9/'02_Common_Size_IS_BS'!N$4</f>
        <v>2.8974538553645256E-2</v>
      </c>
      <c r="O10" s="20">
        <f>'01_All_Raw_Data'!O9/'02_Common_Size_IS_BS'!O$4</f>
        <v>1.0844480293966077E-2</v>
      </c>
      <c r="P10" s="20">
        <f>'01_All_Raw_Data'!P9/'02_Common_Size_IS_BS'!P$4</f>
        <v>3.3972821742605914E-3</v>
      </c>
    </row>
    <row r="11" spans="1:17" x14ac:dyDescent="0.2">
      <c r="A11" s="15" t="s">
        <v>176</v>
      </c>
      <c r="B11" s="21">
        <f>'01_All_Raw_Data'!B10/'02_Common_Size_IS_BS'!B$4</f>
        <v>4.2801477658013259E-2</v>
      </c>
      <c r="C11" s="21">
        <f>'01_All_Raw_Data'!C10/'02_Common_Size_IS_BS'!C$4</f>
        <v>4.7529006005415465E-2</v>
      </c>
      <c r="D11" s="21">
        <f>'01_All_Raw_Data'!D10/'02_Common_Size_IS_BS'!D$4</f>
        <v>2.8914644640011433E-2</v>
      </c>
      <c r="E11" s="21">
        <f>'01_All_Raw_Data'!E10/'02_Common_Size_IS_BS'!E$4</f>
        <v>3.8996553263005974E-2</v>
      </c>
      <c r="F11" s="21">
        <f>'01_All_Raw_Data'!F10/'02_Common_Size_IS_BS'!F$4</f>
        <v>9.7167465692267543E-2</v>
      </c>
      <c r="G11" s="21">
        <f>'01_All_Raw_Data'!G10/'02_Common_Size_IS_BS'!G$4</f>
        <v>5.1765561086195851E-2</v>
      </c>
      <c r="H11" s="21">
        <f>'01_All_Raw_Data'!H10/'02_Common_Size_IS_BS'!H$4</f>
        <v>5.0531175260025582E-2</v>
      </c>
      <c r="I11" s="21">
        <f>'01_All_Raw_Data'!I10/'02_Common_Size_IS_BS'!I$4</f>
        <v>0.13108120455821118</v>
      </c>
      <c r="J11" s="21">
        <f>'01_All_Raw_Data'!J10/'02_Common_Size_IS_BS'!J$4</f>
        <v>7.1967581387844259E-2</v>
      </c>
      <c r="K11" s="21">
        <f>'01_All_Raw_Data'!K10/'02_Common_Size_IS_BS'!K$4</f>
        <v>8.0196747194024712E-2</v>
      </c>
      <c r="L11" s="21">
        <f>'01_All_Raw_Data'!L10/'02_Common_Size_IS_BS'!L$4</f>
        <v>0.13534466093842698</v>
      </c>
      <c r="M11" s="21">
        <f>'01_All_Raw_Data'!M10/'02_Common_Size_IS_BS'!M$4</f>
        <v>7.9093352445798237E-2</v>
      </c>
      <c r="N11" s="21">
        <f>'01_All_Raw_Data'!N10/'02_Common_Size_IS_BS'!N$4</f>
        <v>6.7720217789124099E-2</v>
      </c>
      <c r="O11" s="21">
        <f>'01_All_Raw_Data'!O10/'02_Common_Size_IS_BS'!O$4</f>
        <v>0.11808683052885513</v>
      </c>
      <c r="P11" s="21">
        <f>'01_All_Raw_Data'!P10/'02_Common_Size_IS_BS'!P$4</f>
        <v>8.0435651478816941E-2</v>
      </c>
    </row>
    <row r="12" spans="1:17" x14ac:dyDescent="0.2">
      <c r="A12" s="6" t="s">
        <v>177</v>
      </c>
      <c r="B12" s="20">
        <f>'01_All_Raw_Data'!B11/'02_Common_Size_IS_BS'!B$4</f>
        <v>-2.8844694094428418E-3</v>
      </c>
      <c r="C12" s="20">
        <f>'01_All_Raw_Data'!C11/'02_Common_Size_IS_BS'!C$4</f>
        <v>-7.2080112544813712E-3</v>
      </c>
      <c r="D12" s="20">
        <f>'01_All_Raw_Data'!D11/'02_Common_Size_IS_BS'!D$4</f>
        <v>-7.4647497926458393E-3</v>
      </c>
      <c r="E12" s="20">
        <f>'01_All_Raw_Data'!E11/'02_Common_Size_IS_BS'!E$4</f>
        <v>-5.3742510705773999E-3</v>
      </c>
      <c r="F12" s="20">
        <f>'01_All_Raw_Data'!F11/'02_Common_Size_IS_BS'!F$4</f>
        <v>-2.5674134923142439E-2</v>
      </c>
      <c r="G12" s="20">
        <f>'01_All_Raw_Data'!G11/'02_Common_Size_IS_BS'!G$4</f>
        <v>-1.3586688679710216E-2</v>
      </c>
      <c r="H12" s="20">
        <f>'01_All_Raw_Data'!H11/'02_Common_Size_IS_BS'!H$4</f>
        <v>-9.8911693271780034E-3</v>
      </c>
      <c r="I12" s="20">
        <f>'01_All_Raw_Data'!I11/'02_Common_Size_IS_BS'!I$4</f>
        <v>-3.624247803782845E-2</v>
      </c>
      <c r="J12" s="20">
        <f>'01_All_Raw_Data'!J11/'02_Common_Size_IS_BS'!J$4</f>
        <v>-1.6339625919996027E-2</v>
      </c>
      <c r="K12" s="20">
        <f>'01_All_Raw_Data'!K11/'02_Common_Size_IS_BS'!K$4</f>
        <v>-1.6132460250791947E-2</v>
      </c>
      <c r="L12" s="20">
        <f>'01_All_Raw_Data'!L11/'02_Common_Size_IS_BS'!L$4</f>
        <v>-3.6629182026037051E-2</v>
      </c>
      <c r="M12" s="20">
        <f>'01_All_Raw_Data'!M11/'02_Common_Size_IS_BS'!M$4</f>
        <v>-2.2279161440602043E-2</v>
      </c>
      <c r="N12" s="20">
        <f>'01_All_Raw_Data'!N11/'02_Common_Size_IS_BS'!N$4</f>
        <v>-1.2064252310055803E-2</v>
      </c>
      <c r="O12" s="20">
        <f>'01_All_Raw_Data'!O11/'02_Common_Size_IS_BS'!O$4</f>
        <v>-3.5558244269678026E-2</v>
      </c>
      <c r="P12" s="20">
        <f>'01_All_Raw_Data'!P11/'02_Common_Size_IS_BS'!P$4</f>
        <v>-1.8776978417266187E-2</v>
      </c>
    </row>
    <row r="13" spans="1:17" x14ac:dyDescent="0.2">
      <c r="A13" s="6" t="s">
        <v>130</v>
      </c>
      <c r="B13" s="20">
        <f>'01_All_Raw_Data'!B12/'02_Common_Size_IS_BS'!B$4</f>
        <v>-1.7205607003694146E-4</v>
      </c>
      <c r="C13" s="20">
        <f>'01_All_Raw_Data'!C12/'02_Common_Size_IS_BS'!C$4</f>
        <v>0</v>
      </c>
      <c r="D13" s="20">
        <f>'01_All_Raw_Data'!D12/'02_Common_Size_IS_BS'!D$4</f>
        <v>0</v>
      </c>
      <c r="E13" s="20">
        <f>'01_All_Raw_Data'!E12/'02_Common_Size_IS_BS'!E$4</f>
        <v>-1.614174349820067E-4</v>
      </c>
      <c r="F13" s="20">
        <f>'01_All_Raw_Data'!F12/'02_Common_Size_IS_BS'!F$4</f>
        <v>0</v>
      </c>
      <c r="G13" s="20">
        <f>'01_All_Raw_Data'!G12/'02_Common_Size_IS_BS'!G$4</f>
        <v>0</v>
      </c>
      <c r="H13" s="20">
        <f>'01_All_Raw_Data'!H12/'02_Common_Size_IS_BS'!H$4</f>
        <v>-1.6686133822793259E-4</v>
      </c>
      <c r="I13" s="20">
        <f>'01_All_Raw_Data'!I12/'02_Common_Size_IS_BS'!I$4</f>
        <v>0</v>
      </c>
      <c r="J13" s="20">
        <f>'01_All_Raw_Data'!J12/'02_Common_Size_IS_BS'!J$4</f>
        <v>0</v>
      </c>
      <c r="K13" s="20">
        <f>'01_All_Raw_Data'!K12/'02_Common_Size_IS_BS'!K$4</f>
        <v>-1.92294068234032E-4</v>
      </c>
      <c r="L13" s="20">
        <f>'01_All_Raw_Data'!L12/'02_Common_Size_IS_BS'!L$4</f>
        <v>0</v>
      </c>
      <c r="M13" s="20">
        <f>'01_All_Raw_Data'!M12/'02_Common_Size_IS_BS'!M$4</f>
        <v>0</v>
      </c>
      <c r="N13" s="20">
        <f>'01_All_Raw_Data'!N12/'02_Common_Size_IS_BS'!N$4</f>
        <v>-1.9203397871811671E-4</v>
      </c>
      <c r="O13" s="20">
        <f>'01_All_Raw_Data'!O12/'02_Common_Size_IS_BS'!O$4</f>
        <v>0</v>
      </c>
      <c r="P13" s="20">
        <f>'01_All_Raw_Data'!P12/'02_Common_Size_IS_BS'!P$4</f>
        <v>0</v>
      </c>
    </row>
    <row r="14" spans="1:17" x14ac:dyDescent="0.2">
      <c r="A14" s="6" t="s">
        <v>157</v>
      </c>
      <c r="B14" s="20">
        <f>'01_All_Raw_Data'!B13/'02_Common_Size_IS_BS'!B$4</f>
        <v>0</v>
      </c>
      <c r="C14" s="20">
        <f>'01_All_Raw_Data'!C13/'02_Common_Size_IS_BS'!C$4</f>
        <v>0</v>
      </c>
      <c r="D14" s="20">
        <f>'01_All_Raw_Data'!D13/'02_Common_Size_IS_BS'!D$4</f>
        <v>0</v>
      </c>
      <c r="E14" s="20">
        <f>'01_All_Raw_Data'!E13/'02_Common_Size_IS_BS'!E$4</f>
        <v>0</v>
      </c>
      <c r="F14" s="20">
        <f>'01_All_Raw_Data'!F13/'02_Common_Size_IS_BS'!F$4</f>
        <v>0</v>
      </c>
      <c r="G14" s="20">
        <f>'01_All_Raw_Data'!G13/'02_Common_Size_IS_BS'!G$4</f>
        <v>0</v>
      </c>
      <c r="H14" s="20">
        <f>'01_All_Raw_Data'!H13/'02_Common_Size_IS_BS'!H$4</f>
        <v>0</v>
      </c>
      <c r="I14" s="20">
        <f>'01_All_Raw_Data'!I13/'02_Common_Size_IS_BS'!I$4</f>
        <v>0</v>
      </c>
      <c r="J14" s="20">
        <f>'01_All_Raw_Data'!J13/'02_Common_Size_IS_BS'!J$4</f>
        <v>0</v>
      </c>
      <c r="K14" s="20">
        <f>'01_All_Raw_Data'!K13/'02_Common_Size_IS_BS'!K$4</f>
        <v>0</v>
      </c>
      <c r="L14" s="20">
        <f>'01_All_Raw_Data'!L13/'02_Common_Size_IS_BS'!L$4</f>
        <v>0</v>
      </c>
      <c r="M14" s="20">
        <f>'01_All_Raw_Data'!M13/'02_Common_Size_IS_BS'!M$4</f>
        <v>0</v>
      </c>
      <c r="N14" s="20">
        <f>'01_All_Raw_Data'!N13/'02_Common_Size_IS_BS'!N$4</f>
        <v>0</v>
      </c>
      <c r="O14" s="20">
        <f>'01_All_Raw_Data'!O13/'02_Common_Size_IS_BS'!O$4</f>
        <v>9.2207957100072444E-2</v>
      </c>
      <c r="P14" s="20">
        <f>'01_All_Raw_Data'!P13/'02_Common_Size_IS_BS'!P$4</f>
        <v>0</v>
      </c>
    </row>
    <row r="15" spans="1:17" x14ac:dyDescent="0.2">
      <c r="A15" s="15" t="s">
        <v>15</v>
      </c>
      <c r="B15" s="21">
        <f>'01_All_Raw_Data'!B14/'02_Common_Size_IS_BS'!B$4</f>
        <v>3.9744952178533473E-2</v>
      </c>
      <c r="C15" s="21">
        <f>'01_All_Raw_Data'!C14/'02_Common_Size_IS_BS'!C$4</f>
        <v>4.0320994750934092E-2</v>
      </c>
      <c r="D15" s="21">
        <f>'01_All_Raw_Data'!D14/'02_Common_Size_IS_BS'!D$4</f>
        <v>2.1449894847365591E-2</v>
      </c>
      <c r="E15" s="21">
        <f>'01_All_Raw_Data'!E14/'02_Common_Size_IS_BS'!E$4</f>
        <v>3.3460884757446567E-2</v>
      </c>
      <c r="F15" s="21">
        <f>'01_All_Raw_Data'!F14/'02_Common_Size_IS_BS'!F$4</f>
        <v>7.1493330769125105E-2</v>
      </c>
      <c r="G15" s="21">
        <f>'01_All_Raw_Data'!G14/'02_Common_Size_IS_BS'!G$4</f>
        <v>3.8178872406485632E-2</v>
      </c>
      <c r="H15" s="21">
        <f>'01_All_Raw_Data'!H14/'02_Common_Size_IS_BS'!H$4</f>
        <v>4.0473144594619648E-2</v>
      </c>
      <c r="I15" s="21">
        <f>'01_All_Raw_Data'!I14/'02_Common_Size_IS_BS'!I$4</f>
        <v>9.4838726520382721E-2</v>
      </c>
      <c r="J15" s="21">
        <f>'01_All_Raw_Data'!J14/'02_Common_Size_IS_BS'!J$4</f>
        <v>5.5627955467848232E-2</v>
      </c>
      <c r="K15" s="21">
        <f>'01_All_Raw_Data'!K14/'02_Common_Size_IS_BS'!K$4</f>
        <v>6.3871992874998729E-2</v>
      </c>
      <c r="L15" s="21">
        <f>'01_All_Raw_Data'!L14/'02_Common_Size_IS_BS'!L$4</f>
        <v>9.8715478912389923E-2</v>
      </c>
      <c r="M15" s="21">
        <f>'01_All_Raw_Data'!M14/'02_Common_Size_IS_BS'!M$4</f>
        <v>5.6814191005196205E-2</v>
      </c>
      <c r="N15" s="21">
        <f>'01_All_Raw_Data'!N14/'02_Common_Size_IS_BS'!N$4</f>
        <v>5.5463931500350179E-2</v>
      </c>
      <c r="O15" s="21">
        <f>'01_All_Raw_Data'!O14/'02_Common_Size_IS_BS'!O$4</f>
        <v>0.17473654335924954</v>
      </c>
      <c r="P15" s="21">
        <f>'01_All_Raw_Data'!P14/'02_Common_Size_IS_BS'!P$4</f>
        <v>6.1658673061550762E-2</v>
      </c>
    </row>
    <row r="19" spans="1:17" x14ac:dyDescent="0.2">
      <c r="A19" s="5" t="s">
        <v>153</v>
      </c>
      <c r="B19" s="44">
        <v>2025</v>
      </c>
      <c r="C19" s="44"/>
      <c r="D19" s="44"/>
      <c r="E19" s="44">
        <v>2024</v>
      </c>
      <c r="F19" s="44"/>
      <c r="G19" s="44"/>
      <c r="H19" s="44">
        <v>2023</v>
      </c>
      <c r="I19" s="44"/>
      <c r="J19" s="44"/>
      <c r="K19" s="44">
        <v>2022</v>
      </c>
      <c r="L19" s="44"/>
      <c r="M19" s="44"/>
      <c r="N19" s="44">
        <v>2021</v>
      </c>
      <c r="O19" s="44"/>
      <c r="P19" s="44"/>
    </row>
    <row r="20" spans="1:17" x14ac:dyDescent="0.2">
      <c r="A20" s="5" t="s">
        <v>166</v>
      </c>
      <c r="B20" s="13" t="s">
        <v>150</v>
      </c>
      <c r="C20" s="14" t="s">
        <v>151</v>
      </c>
      <c r="D20" s="14" t="s">
        <v>152</v>
      </c>
      <c r="E20" s="14" t="s">
        <v>150</v>
      </c>
      <c r="F20" s="14" t="s">
        <v>151</v>
      </c>
      <c r="G20" s="14" t="s">
        <v>152</v>
      </c>
      <c r="H20" s="14" t="s">
        <v>150</v>
      </c>
      <c r="I20" s="14" t="s">
        <v>151</v>
      </c>
      <c r="J20" s="14" t="s">
        <v>152</v>
      </c>
      <c r="K20" s="14" t="s">
        <v>150</v>
      </c>
      <c r="L20" s="14" t="s">
        <v>151</v>
      </c>
      <c r="M20" s="14" t="s">
        <v>152</v>
      </c>
      <c r="N20" s="14" t="s">
        <v>150</v>
      </c>
      <c r="O20" s="14" t="s">
        <v>151</v>
      </c>
      <c r="P20" s="14" t="s">
        <v>152</v>
      </c>
    </row>
    <row r="21" spans="1:17" x14ac:dyDescent="0.2">
      <c r="A21" s="6" t="s">
        <v>160</v>
      </c>
      <c r="B21" s="23">
        <f>'01_All_Raw_Data'!B19/'02_Common_Size_IS_BS'!B$31</f>
        <v>0.12056849472234971</v>
      </c>
      <c r="C21" s="23">
        <f>'01_All_Raw_Data'!C19/'02_Common_Size_IS_BS'!C$31</f>
        <v>4.7967244173392938E-2</v>
      </c>
      <c r="D21" s="23">
        <f>'01_All_Raw_Data'!D19/'02_Common_Size_IS_BS'!D$31</f>
        <v>6.020634105392518E-2</v>
      </c>
      <c r="E21" s="23">
        <f>'01_All_Raw_Data'!E19/'02_Common_Size_IS_BS'!E$31</f>
        <v>0.12230734565119424</v>
      </c>
      <c r="F21" s="23">
        <f>'01_All_Raw_Data'!F19/'02_Common_Size_IS_BS'!F$31</f>
        <v>5.4756424285876001E-2</v>
      </c>
      <c r="G21" s="23">
        <f>'01_All_Raw_Data'!G19/'02_Common_Size_IS_BS'!G$31</f>
        <v>6.36683230500628E-2</v>
      </c>
      <c r="H21" s="23">
        <f>'01_All_Raw_Data'!H19/'02_Common_Size_IS_BS'!H$31</f>
        <v>9.0602146732719976E-2</v>
      </c>
      <c r="I21" s="23">
        <f>'01_All_Raw_Data'!I19/'02_Common_Size_IS_BS'!I$31</f>
        <v>6.0686938735162836E-2</v>
      </c>
      <c r="J21" s="23">
        <f>'01_All_Raw_Data'!J19/'02_Common_Size_IS_BS'!J$31</f>
        <v>7.2374229184226216E-2</v>
      </c>
      <c r="K21" s="23">
        <f>'01_All_Raw_Data'!K19/'02_Common_Size_IS_BS'!K$31</f>
        <v>8.5918358872139861E-2</v>
      </c>
      <c r="L21" s="23">
        <f>'01_All_Raw_Data'!L19/'02_Common_Size_IS_BS'!L$31</f>
        <v>6.7992231217429769E-2</v>
      </c>
      <c r="M21" s="23">
        <f>'01_All_Raw_Data'!M19/'02_Common_Size_IS_BS'!M$31</f>
        <v>5.1722212076671992E-2</v>
      </c>
      <c r="N21" s="23">
        <f>'01_All_Raw_Data'!N19/'02_Common_Size_IS_BS'!N$31</f>
        <v>0.13637276871957346</v>
      </c>
      <c r="O21" s="23">
        <f>'01_All_Raw_Data'!O19/'02_Common_Size_IS_BS'!O$31</f>
        <v>8.8980914517513304E-2</v>
      </c>
      <c r="P21" s="23">
        <f>'01_All_Raw_Data'!P19/'02_Common_Size_IS_BS'!P$31</f>
        <v>7.5146280142789845E-2</v>
      </c>
    </row>
    <row r="22" spans="1:17" x14ac:dyDescent="0.2">
      <c r="A22" s="6" t="s">
        <v>72</v>
      </c>
      <c r="B22" s="23">
        <f>'01_All_Raw_Data'!B20/'02_Common_Size_IS_BS'!B$31</f>
        <v>1.6693437356585589E-2</v>
      </c>
      <c r="C22" s="23">
        <f>'01_All_Raw_Data'!C20/'02_Common_Size_IS_BS'!C$31</f>
        <v>2.2903243484455858E-2</v>
      </c>
      <c r="D22" s="23">
        <f>'01_All_Raw_Data'!D20/'02_Common_Size_IS_BS'!D$31</f>
        <v>3.2212665660150172E-2</v>
      </c>
      <c r="E22" s="23">
        <f>'01_All_Raw_Data'!E20/'02_Common_Size_IS_BS'!E$31</f>
        <v>1.5096890491212258E-2</v>
      </c>
      <c r="F22" s="23">
        <f>'01_All_Raw_Data'!F20/'02_Common_Size_IS_BS'!F$31</f>
        <v>2.6312214633410061E-2</v>
      </c>
      <c r="G22" s="23">
        <f>'01_All_Raw_Data'!G20/'02_Common_Size_IS_BS'!G$31</f>
        <v>3.3385737195945682E-2</v>
      </c>
      <c r="H22" s="23">
        <f>'01_All_Raw_Data'!H20/'02_Common_Size_IS_BS'!H$31</f>
        <v>1.9889714555319651E-2</v>
      </c>
      <c r="I22" s="23">
        <f>'01_All_Raw_Data'!I20/'02_Common_Size_IS_BS'!I$31</f>
        <v>2.7682095033875493E-2</v>
      </c>
      <c r="J22" s="23">
        <f>'01_All_Raw_Data'!J20/'02_Common_Size_IS_BS'!J$31</f>
        <v>3.6394497766258339E-2</v>
      </c>
      <c r="K22" s="23">
        <f>'01_All_Raw_Data'!K20/'02_Common_Size_IS_BS'!K$31</f>
        <v>1.6070761181014078E-2</v>
      </c>
      <c r="L22" s="23">
        <f>'01_All_Raw_Data'!L20/'02_Common_Size_IS_BS'!L$31</f>
        <v>3.11520489202546E-2</v>
      </c>
      <c r="M22" s="23">
        <f>'01_All_Raw_Data'!M20/'02_Common_Size_IS_BS'!M$31</f>
        <v>3.2860944694537181E-2</v>
      </c>
      <c r="N22" s="23">
        <f>'01_All_Raw_Data'!N20/'02_Common_Size_IS_BS'!N$31</f>
        <v>1.1714705200525461E-2</v>
      </c>
      <c r="O22" s="23">
        <f>'01_All_Raw_Data'!O20/'02_Common_Size_IS_BS'!O$31</f>
        <v>2.9530733438273338E-2</v>
      </c>
      <c r="P22" s="23">
        <f>'01_All_Raw_Data'!P20/'02_Common_Size_IS_BS'!P$31</f>
        <v>2.9361966973698896E-2</v>
      </c>
    </row>
    <row r="23" spans="1:17" x14ac:dyDescent="0.2">
      <c r="A23" s="6" t="s">
        <v>21</v>
      </c>
      <c r="B23" s="23">
        <f>'01_All_Raw_Data'!B21/'02_Common_Size_IS_BS'!B$31</f>
        <v>0.10463515374024782</v>
      </c>
      <c r="C23" s="23">
        <f>'01_All_Raw_Data'!C21/'02_Common_Size_IS_BS'!C$31</f>
        <v>9.3683699592117933E-2</v>
      </c>
      <c r="D23" s="23">
        <f>'01_All_Raw_Data'!D21/'02_Common_Size_IS_BS'!D$31</f>
        <v>8.695868058411059E-2</v>
      </c>
      <c r="E23" s="23">
        <f>'01_All_Raw_Data'!E21/'02_Common_Size_IS_BS'!E$31</f>
        <v>0.11665915577587502</v>
      </c>
      <c r="F23" s="23">
        <f>'01_All_Raw_Data'!F21/'02_Common_Size_IS_BS'!F$31</f>
        <v>9.8992490849401912E-2</v>
      </c>
      <c r="G23" s="23">
        <f>'01_All_Raw_Data'!G21/'02_Common_Size_IS_BS'!G$31</f>
        <v>8.9618505146901978E-2</v>
      </c>
      <c r="H23" s="23">
        <f>'01_All_Raw_Data'!H21/'02_Common_Size_IS_BS'!H$31</f>
        <v>0.12539808917197454</v>
      </c>
      <c r="I23" s="23">
        <f>'01_All_Raw_Data'!I21/'02_Common_Size_IS_BS'!I$31</f>
        <v>0.10377078723452791</v>
      </c>
      <c r="J23" s="23">
        <f>'01_All_Raw_Data'!J21/'02_Common_Size_IS_BS'!J$31</f>
        <v>8.9284702950671119E-2</v>
      </c>
      <c r="K23" s="23">
        <f>'01_All_Raw_Data'!K21/'02_Common_Size_IS_BS'!K$31</f>
        <v>0.10413465664493446</v>
      </c>
      <c r="L23" s="23">
        <f>'01_All_Raw_Data'!L21/'02_Common_Size_IS_BS'!L$31</f>
        <v>9.8536622887141129E-2</v>
      </c>
      <c r="M23" s="23">
        <f>'01_All_Raw_Data'!M21/'02_Common_Size_IS_BS'!M$31</f>
        <v>9.2682260869873564E-2</v>
      </c>
      <c r="N23" s="23">
        <f>'01_All_Raw_Data'!N21/'02_Common_Size_IS_BS'!N$31</f>
        <v>0.11261880843829689</v>
      </c>
      <c r="O23" s="23">
        <f>'01_All_Raw_Data'!O21/'02_Common_Size_IS_BS'!O$31</f>
        <v>8.2615238366476676E-2</v>
      </c>
      <c r="P23" s="23">
        <f>'01_All_Raw_Data'!P21/'02_Common_Size_IS_BS'!P$31</f>
        <v>8.2717093352553589E-2</v>
      </c>
    </row>
    <row r="24" spans="1:17" x14ac:dyDescent="0.2">
      <c r="A24" s="6" t="s">
        <v>175</v>
      </c>
      <c r="B24" s="23">
        <f>'01_All_Raw_Data'!B22/'02_Common_Size_IS_BS'!B$31</f>
        <v>0.22444355208811381</v>
      </c>
      <c r="C24" s="23">
        <f>'01_All_Raw_Data'!C22/'02_Common_Size_IS_BS'!C$31</f>
        <v>0.13460499635959383</v>
      </c>
      <c r="D24" s="23">
        <f>'01_All_Raw_Data'!D22/'02_Common_Size_IS_BS'!D$31</f>
        <v>0.10865723147965684</v>
      </c>
      <c r="E24" s="23">
        <f>'01_All_Raw_Data'!E22/'02_Common_Size_IS_BS'!E$31</f>
        <v>0.20348505332732461</v>
      </c>
      <c r="F24" s="23">
        <f>'01_All_Raw_Data'!F22/'02_Common_Size_IS_BS'!F$31</f>
        <v>0.14837175955624315</v>
      </c>
      <c r="G24" s="23">
        <f>'01_All_Raw_Data'!G22/'02_Common_Size_IS_BS'!G$31</f>
        <v>0.10879199879918787</v>
      </c>
      <c r="H24" s="23">
        <f>'01_All_Raw_Data'!H22/'02_Common_Size_IS_BS'!H$31</f>
        <v>0.24177282377919321</v>
      </c>
      <c r="I24" s="23">
        <f>'01_All_Raw_Data'!I22/'02_Common_Size_IS_BS'!I$31</f>
        <v>0.14625772749047608</v>
      </c>
      <c r="J24" s="23">
        <f>'01_All_Raw_Data'!J22/'02_Common_Size_IS_BS'!J$31</f>
        <v>0.11057271070630212</v>
      </c>
      <c r="K24" s="23">
        <f>'01_All_Raw_Data'!K22/'02_Common_Size_IS_BS'!K$31</f>
        <v>0.33927162493251939</v>
      </c>
      <c r="L24" s="23">
        <f>'01_All_Raw_Data'!L22/'02_Common_Size_IS_BS'!L$31</f>
        <v>0.14349941349537526</v>
      </c>
      <c r="M24" s="23">
        <f>'01_All_Raw_Data'!M22/'02_Common_Size_IS_BS'!M$31</f>
        <v>0.10912691728736749</v>
      </c>
      <c r="N24" s="23">
        <f>'01_All_Raw_Data'!N22/'02_Common_Size_IS_BS'!N$31</f>
        <v>0.32484352059346266</v>
      </c>
      <c r="O24" s="23">
        <f>'01_All_Raw_Data'!O22/'02_Common_Size_IS_BS'!O$31</f>
        <v>0.12958422974933706</v>
      </c>
      <c r="P24" s="23">
        <f>'01_All_Raw_Data'!P22/'02_Common_Size_IS_BS'!P$31</f>
        <v>0.106880510925845</v>
      </c>
    </row>
    <row r="25" spans="1:17" x14ac:dyDescent="0.2">
      <c r="A25" s="6" t="s">
        <v>161</v>
      </c>
      <c r="B25" s="23">
        <f>'01_All_Raw_Data'!B23/'02_Common_Size_IS_BS'!B$31</f>
        <v>9.5714777420835243E-2</v>
      </c>
      <c r="C25" s="23">
        <f>'01_All_Raw_Data'!C23/'02_Common_Size_IS_BS'!C$31</f>
        <v>0.10062787220217172</v>
      </c>
      <c r="D25" s="23">
        <f>'01_All_Raw_Data'!D23/'02_Common_Size_IS_BS'!D$31</f>
        <v>9.6568171838123593E-2</v>
      </c>
      <c r="E25" s="23">
        <f>'01_All_Raw_Data'!E23/'02_Common_Size_IS_BS'!E$31</f>
        <v>8.6480396575033799E-2</v>
      </c>
      <c r="F25" s="23">
        <f>'01_All_Raw_Data'!F23/'02_Common_Size_IS_BS'!F$31</f>
        <v>5.5579034753405532E-2</v>
      </c>
      <c r="G25" s="23">
        <f>'01_All_Raw_Data'!G23/'02_Common_Size_IS_BS'!G$31</f>
        <v>9.2004329243725355E-2</v>
      </c>
      <c r="H25" s="23">
        <f>'01_All_Raw_Data'!H23/'02_Common_Size_IS_BS'!H$31</f>
        <v>8.5884052842651562E-2</v>
      </c>
      <c r="I25" s="23">
        <f>'01_All_Raw_Data'!I23/'02_Common_Size_IS_BS'!I$31</f>
        <v>5.7128301054664626E-2</v>
      </c>
      <c r="J25" s="23">
        <f>'01_All_Raw_Data'!J23/'02_Common_Size_IS_BS'!J$31</f>
        <v>9.0553987920138315E-2</v>
      </c>
      <c r="K25" s="23">
        <f>'01_All_Raw_Data'!K23/'02_Common_Size_IS_BS'!K$31</f>
        <v>7.1771659537948312E-2</v>
      </c>
      <c r="L25" s="23">
        <f>'01_All_Raw_Data'!L23/'02_Common_Size_IS_BS'!L$31</f>
        <v>5.4466088494894524E-2</v>
      </c>
      <c r="M25" s="23">
        <f>'01_All_Raw_Data'!M23/'02_Common_Size_IS_BS'!M$31</f>
        <v>0.11104708579412177</v>
      </c>
      <c r="N25" s="23">
        <f>'01_All_Raw_Data'!N23/'02_Common_Size_IS_BS'!N$31</f>
        <v>0.11047059732632718</v>
      </c>
      <c r="O25" s="23">
        <f>'01_All_Raw_Data'!O23/'02_Common_Size_IS_BS'!O$31</f>
        <v>6.5427143027583318E-2</v>
      </c>
      <c r="P25" s="23">
        <f>'01_All_Raw_Data'!P23/'02_Common_Size_IS_BS'!P$31</f>
        <v>8.4903964934384388E-2</v>
      </c>
    </row>
    <row r="26" spans="1:17" x14ac:dyDescent="0.2">
      <c r="A26" s="7" t="s">
        <v>59</v>
      </c>
      <c r="B26" s="24">
        <f>'01_All_Raw_Data'!B24/'02_Common_Size_IS_BS'!B$31</f>
        <v>0.56205541532813219</v>
      </c>
      <c r="C26" s="24">
        <f>'01_All_Raw_Data'!C24/'02_Common_Size_IS_BS'!C$31</f>
        <v>0.39978705581173229</v>
      </c>
      <c r="D26" s="24">
        <f>'01_All_Raw_Data'!D24/'02_Common_Size_IS_BS'!D$31</f>
        <v>0.38460464228579588</v>
      </c>
      <c r="E26" s="24">
        <f>'01_All_Raw_Data'!E24/'02_Common_Size_IS_BS'!E$31</f>
        <v>0.54402884182063993</v>
      </c>
      <c r="F26" s="24">
        <f>'01_All_Raw_Data'!F24/'02_Common_Size_IS_BS'!F$31</f>
        <v>0.38401192407833667</v>
      </c>
      <c r="G26" s="24">
        <f>'01_All_Raw_Data'!G24/'02_Common_Size_IS_BS'!G$31</f>
        <v>0.38746889343582369</v>
      </c>
      <c r="H26" s="24">
        <f>'01_All_Raw_Data'!H24/'02_Common_Size_IS_BS'!H$31</f>
        <v>0.56354682708185888</v>
      </c>
      <c r="I26" s="24">
        <f>'01_All_Raw_Data'!I24/'02_Common_Size_IS_BS'!I$31</f>
        <v>0.39552584954870695</v>
      </c>
      <c r="J26" s="24">
        <f>'01_All_Raw_Data'!J24/'02_Common_Size_IS_BS'!J$31</f>
        <v>0.3991817942559025</v>
      </c>
      <c r="K26" s="24">
        <f>'01_All_Raw_Data'!K24/'02_Common_Size_IS_BS'!K$31</f>
        <v>0.61716706116855613</v>
      </c>
      <c r="L26" s="24">
        <f>'01_All_Raw_Data'!L24/'02_Common_Size_IS_BS'!L$31</f>
        <v>0.39564640501509529</v>
      </c>
      <c r="M26" s="24">
        <f>'01_All_Raw_Data'!M24/'02_Common_Size_IS_BS'!M$31</f>
        <v>0.39743587470501568</v>
      </c>
      <c r="N26" s="24">
        <f>'01_All_Raw_Data'!N24/'02_Common_Size_IS_BS'!N$31</f>
        <v>0.69602040027818557</v>
      </c>
      <c r="O26" s="24">
        <f>'01_All_Raw_Data'!O24/'02_Common_Size_IS_BS'!O$31</f>
        <v>0.39613825909918371</v>
      </c>
      <c r="P26" s="24">
        <f>'01_All_Raw_Data'!P24/'02_Common_Size_IS_BS'!P$31</f>
        <v>0.37900792457184801</v>
      </c>
    </row>
    <row r="27" spans="1:17" x14ac:dyDescent="0.2">
      <c r="A27" s="6" t="s">
        <v>162</v>
      </c>
      <c r="B27" s="23">
        <f>'01_All_Raw_Data'!B25/'02_Common_Size_IS_BS'!B$31</f>
        <v>1.755392381826526E-2</v>
      </c>
      <c r="C27" s="23">
        <f>'01_All_Raw_Data'!C25/'02_Common_Size_IS_BS'!C$31</f>
        <v>8.0429489638542892E-2</v>
      </c>
      <c r="D27" s="23">
        <f>'01_All_Raw_Data'!D25/'02_Common_Size_IS_BS'!D$31</f>
        <v>0.14193744598249405</v>
      </c>
      <c r="E27" s="23">
        <f>'01_All_Raw_Data'!E25/'02_Common_Size_IS_BS'!E$31</f>
        <v>2.4124981222773022E-2</v>
      </c>
      <c r="F27" s="23">
        <f>'01_All_Raw_Data'!F25/'02_Common_Size_IS_BS'!F$31</f>
        <v>7.3340628655522433E-2</v>
      </c>
      <c r="G27" s="23">
        <f>'01_All_Raw_Data'!G25/'02_Common_Size_IS_BS'!G$31</f>
        <v>0.14746762942305716</v>
      </c>
      <c r="H27" s="23">
        <f>'01_All_Raw_Data'!H25/'02_Common_Size_IS_BS'!H$31</f>
        <v>2.6878391129983487E-2</v>
      </c>
      <c r="I27" s="23">
        <f>'01_All_Raw_Data'!I25/'02_Common_Size_IS_BS'!I$31</f>
        <v>6.6887940932697648E-2</v>
      </c>
      <c r="J27" s="23">
        <f>'01_All_Raw_Data'!J25/'02_Common_Size_IS_BS'!J$31</f>
        <v>0.14843138365387498</v>
      </c>
      <c r="K27" s="23">
        <f>'01_All_Raw_Data'!K25/'02_Common_Size_IS_BS'!K$31</f>
        <v>1.9988095732458508E-2</v>
      </c>
      <c r="L27" s="23">
        <f>'01_All_Raw_Data'!L25/'02_Common_Size_IS_BS'!L$31</f>
        <v>6.1031094359940773E-2</v>
      </c>
      <c r="M27" s="23">
        <f>'01_All_Raw_Data'!M25/'02_Common_Size_IS_BS'!M$31</f>
        <v>0.14758702370335436</v>
      </c>
      <c r="N27" s="23">
        <f>'01_All_Raw_Data'!N25/'02_Common_Size_IS_BS'!N$31</f>
        <v>1.0880148365659531E-2</v>
      </c>
      <c r="O27" s="23">
        <f>'01_All_Raw_Data'!O25/'02_Common_Size_IS_BS'!O$31</f>
        <v>5.7749075360522803E-2</v>
      </c>
      <c r="P27" s="23">
        <f>'01_All_Raw_Data'!P25/'02_Common_Size_IS_BS'!P$31</f>
        <v>0.14696874249208772</v>
      </c>
    </row>
    <row r="28" spans="1:17" x14ac:dyDescent="0.2">
      <c r="A28" s="6" t="s">
        <v>163</v>
      </c>
      <c r="B28" s="23">
        <f>'01_All_Raw_Data'!B26/'02_Common_Size_IS_BS'!B$31</f>
        <v>0.24644332262505736</v>
      </c>
      <c r="C28" s="23">
        <f>'01_All_Raw_Data'!C26/'02_Common_Size_IS_BS'!C$31</f>
        <v>0.26152991004673815</v>
      </c>
      <c r="D28" s="23">
        <f>'01_All_Raw_Data'!D26/'02_Common_Size_IS_BS'!D$31</f>
        <v>0.24138086201465708</v>
      </c>
      <c r="E28" s="23">
        <f>'01_All_Raw_Data'!E26/'02_Common_Size_IS_BS'!E$31</f>
        <v>0.24970707525912572</v>
      </c>
      <c r="F28" s="23">
        <f>'01_All_Raw_Data'!F26/'02_Common_Size_IS_BS'!F$31</f>
        <v>0.27077091430512057</v>
      </c>
      <c r="G28" s="23">
        <f>'01_All_Raw_Data'!G26/'02_Common_Size_IS_BS'!G$31</f>
        <v>0.2285414082682235</v>
      </c>
      <c r="H28" s="23">
        <f>'01_All_Raw_Data'!H26/'02_Common_Size_IS_BS'!H$31</f>
        <v>0.22941731540457655</v>
      </c>
      <c r="I28" s="23">
        <f>'01_All_Raw_Data'!I26/'02_Common_Size_IS_BS'!I$31</f>
        <v>0.25778071796275598</v>
      </c>
      <c r="J28" s="23">
        <f>'01_All_Raw_Data'!J26/'02_Common_Size_IS_BS'!J$31</f>
        <v>0.21816709920078356</v>
      </c>
      <c r="K28" s="23">
        <f>'01_All_Raw_Data'!K26/'02_Common_Size_IS_BS'!K$31</f>
        <v>0.19384577052447988</v>
      </c>
      <c r="L28" s="23">
        <f>'01_All_Raw_Data'!L26/'02_Common_Size_IS_BS'!L$31</f>
        <v>0.26460781108782183</v>
      </c>
      <c r="M28" s="23">
        <f>'01_All_Raw_Data'!M26/'02_Common_Size_IS_BS'!M$31</f>
        <v>0.21855879208457962</v>
      </c>
      <c r="N28" s="23">
        <f>'01_All_Raw_Data'!N26/'02_Common_Size_IS_BS'!N$31</f>
        <v>0.19689359400355461</v>
      </c>
      <c r="O28" s="23">
        <f>'01_All_Raw_Data'!O26/'02_Common_Size_IS_BS'!O$31</f>
        <v>0.27837325030500593</v>
      </c>
      <c r="P28" s="23">
        <f>'01_All_Raw_Data'!P26/'02_Common_Size_IS_BS'!P$31</f>
        <v>0.23343151554362487</v>
      </c>
    </row>
    <row r="29" spans="1:17" x14ac:dyDescent="0.2">
      <c r="A29" s="6" t="s">
        <v>174</v>
      </c>
      <c r="B29" s="23">
        <f>'01_All_Raw_Data'!B27/'02_Common_Size_IS_BS'!B$31</f>
        <v>0.1721116337769619</v>
      </c>
      <c r="C29" s="23">
        <f>'01_All_Raw_Data'!C27/'02_Common_Size_IS_BS'!C$31</f>
        <v>0.20576123632890483</v>
      </c>
      <c r="D29" s="23">
        <f>'01_All_Raw_Data'!D27/'02_Common_Size_IS_BS'!D$31</f>
        <v>0.18496059534468018</v>
      </c>
      <c r="E29" s="23">
        <f>'01_All_Raw_Data'!E27/'02_Common_Size_IS_BS'!E$31</f>
        <v>0.18056181463121526</v>
      </c>
      <c r="F29" s="23">
        <f>'01_All_Raw_Data'!F27/'02_Common_Size_IS_BS'!F$31</f>
        <v>0.23386664654163994</v>
      </c>
      <c r="G29" s="23">
        <f>'01_All_Raw_Data'!G27/'02_Common_Size_IS_BS'!G$31</f>
        <v>0.18598209841919403</v>
      </c>
      <c r="H29" s="23">
        <f>'01_All_Raw_Data'!H27/'02_Common_Size_IS_BS'!H$31</f>
        <v>0.17806381221986317</v>
      </c>
      <c r="I29" s="23">
        <f>'01_All_Raw_Data'!I27/'02_Common_Size_IS_BS'!I$31</f>
        <v>0.24159576005049008</v>
      </c>
      <c r="J29" s="23">
        <f>'01_All_Raw_Data'!J27/'02_Common_Size_IS_BS'!J$31</f>
        <v>0.18618844717475821</v>
      </c>
      <c r="K29" s="23">
        <f>'01_All_Raw_Data'!K27/'02_Common_Size_IS_BS'!K$31</f>
        <v>0.16739338067356008</v>
      </c>
      <c r="L29" s="23">
        <f>'01_All_Raw_Data'!L27/'02_Common_Size_IS_BS'!L$31</f>
        <v>0.24071688171836239</v>
      </c>
      <c r="M29" s="23">
        <f>'01_All_Raw_Data'!M27/'02_Common_Size_IS_BS'!M$31</f>
        <v>0.18388051339242181</v>
      </c>
      <c r="N29" s="23">
        <f>'01_All_Raw_Data'!N27/'02_Common_Size_IS_BS'!N$31</f>
        <v>7.8309249671586437E-2</v>
      </c>
      <c r="O29" s="23">
        <f>'01_All_Raw_Data'!O27/'02_Common_Size_IS_BS'!O$31</f>
        <v>0.23636902448129746</v>
      </c>
      <c r="P29" s="23">
        <f>'01_All_Raw_Data'!P27/'02_Common_Size_IS_BS'!P$31</f>
        <v>0.19125667553900899</v>
      </c>
    </row>
    <row r="30" spans="1:17" x14ac:dyDescent="0.2">
      <c r="A30" s="6" t="s">
        <v>164</v>
      </c>
      <c r="B30" s="23">
        <f>'01_All_Raw_Data'!B28/'02_Common_Size_IS_BS'!B$31</f>
        <v>1.8357044515832951E-3</v>
      </c>
      <c r="C30" s="23">
        <f>'01_All_Raw_Data'!C28/'02_Common_Size_IS_BS'!C$31</f>
        <v>5.2492308174081875E-2</v>
      </c>
      <c r="D30" s="23">
        <f>'01_All_Raw_Data'!D28/'02_Common_Size_IS_BS'!D$31</f>
        <v>4.7116454372372829E-2</v>
      </c>
      <c r="E30" s="23">
        <f>'01_All_Raw_Data'!E28/'02_Common_Size_IS_BS'!E$31</f>
        <v>1.5772870662460567E-3</v>
      </c>
      <c r="F30" s="23">
        <f>'01_All_Raw_Data'!F28/'02_Common_Size_IS_BS'!F$31</f>
        <v>3.8009886419380398E-2</v>
      </c>
      <c r="G30" s="23">
        <f>'01_All_Raw_Data'!G28/'02_Common_Size_IS_BS'!G$31</f>
        <v>5.053997045370158E-2</v>
      </c>
      <c r="H30" s="23">
        <f>'01_All_Raw_Data'!H28/'02_Common_Size_IS_BS'!H$31</f>
        <v>2.0936541637178582E-3</v>
      </c>
      <c r="I30" s="23">
        <f>'01_All_Raw_Data'!I28/'02_Common_Size_IS_BS'!I$31</f>
        <v>3.8209731505349363E-2</v>
      </c>
      <c r="J30" s="23">
        <f>'01_All_Raw_Data'!J28/'02_Common_Size_IS_BS'!J$31</f>
        <v>4.8032941442987115E-2</v>
      </c>
      <c r="K30" s="23">
        <f>'01_All_Raw_Data'!K28/'02_Common_Size_IS_BS'!K$31</f>
        <v>1.6056919009454203E-3</v>
      </c>
      <c r="L30" s="23">
        <f>'01_All_Raw_Data'!L28/'02_Common_Size_IS_BS'!L$31</f>
        <v>3.7997807818779684E-2</v>
      </c>
      <c r="M30" s="23">
        <f>'01_All_Raw_Data'!M28/'02_Common_Size_IS_BS'!M$31</f>
        <v>5.2537796114628561E-2</v>
      </c>
      <c r="N30" s="23">
        <f>'01_All_Raw_Data'!N28/'02_Common_Size_IS_BS'!N$31</f>
        <v>1.7896607681013831E-2</v>
      </c>
      <c r="O30" s="23">
        <f>'01_All_Raw_Data'!O28/'02_Common_Size_IS_BS'!O$31</f>
        <v>3.1370390753990091E-2</v>
      </c>
      <c r="P30" s="23">
        <f>'01_All_Raw_Data'!P28/'02_Common_Size_IS_BS'!P$31</f>
        <v>4.9335141853430416E-2</v>
      </c>
    </row>
    <row r="31" spans="1:17" x14ac:dyDescent="0.2">
      <c r="A31" s="15" t="s">
        <v>165</v>
      </c>
      <c r="B31" s="17">
        <f>'01_All_Raw_Data'!B29</f>
        <v>69728</v>
      </c>
      <c r="C31" s="17">
        <f>'01_All_Raw_Data'!C29</f>
        <v>255466</v>
      </c>
      <c r="D31" s="17">
        <f>'01_All_Raw_Data'!D29</f>
        <v>644467</v>
      </c>
      <c r="E31" s="17">
        <f>'01_All_Raw_Data'!E29</f>
        <v>66570</v>
      </c>
      <c r="F31" s="17">
        <f>'01_All_Raw_Data'!F29</f>
        <v>265010</v>
      </c>
      <c r="G31" s="17">
        <f>'01_All_Raw_Data'!G29</f>
        <v>632905</v>
      </c>
      <c r="H31" s="17">
        <f>'01_All_Raw_Data'!H29</f>
        <v>67824</v>
      </c>
      <c r="I31" s="17">
        <f>'01_All_Raw_Data'!I29</f>
        <v>263022</v>
      </c>
      <c r="J31" s="17">
        <f>'01_All_Raw_Data'!J29</f>
        <v>600338</v>
      </c>
      <c r="K31" s="17">
        <f>'01_All_Raw_Data'!K29</f>
        <v>72243</v>
      </c>
      <c r="L31" s="17">
        <f>'01_All_Raw_Data'!L29</f>
        <v>260015</v>
      </c>
      <c r="M31" s="17">
        <f>'01_All_Raw_Data'!M29</f>
        <v>564013</v>
      </c>
      <c r="N31" s="17">
        <f>'01_All_Raw_Data'!N29</f>
        <v>64705</v>
      </c>
      <c r="O31" s="17">
        <f>'01_All_Raw_Data'!O29</f>
        <v>259831</v>
      </c>
      <c r="P31" s="17">
        <f>'01_All_Raw_Data'!P29</f>
        <v>528609</v>
      </c>
      <c r="Q31" s="19">
        <v>1</v>
      </c>
    </row>
    <row r="32" spans="1:17" x14ac:dyDescent="0.2">
      <c r="A32" s="6"/>
      <c r="B32" s="6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7" x14ac:dyDescent="0.2">
      <c r="A33" s="18" t="s">
        <v>167</v>
      </c>
      <c r="B33" s="6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7" x14ac:dyDescent="0.2">
      <c r="A34" s="7" t="s">
        <v>168</v>
      </c>
      <c r="B34" s="24">
        <f>'01_All_Raw_Data'!B32/'02_Common_Size_IS_BS'!B$31</f>
        <v>0.24024782010096374</v>
      </c>
      <c r="C34" s="24">
        <f>'01_All_Raw_Data'!C32/'02_Common_Size_IS_BS'!C$31</f>
        <v>0.36889449085201159</v>
      </c>
      <c r="D34" s="24">
        <f>'01_All_Raw_Data'!D32/'02_Common_Size_IS_BS'!D$31</f>
        <v>0.31507276555665381</v>
      </c>
      <c r="E34" s="24">
        <f>'01_All_Raw_Data'!E32/'02_Common_Size_IS_BS'!E$31</f>
        <v>0.25048820790145709</v>
      </c>
      <c r="F34" s="24">
        <f>'01_All_Raw_Data'!F32/'02_Common_Size_IS_BS'!F$31</f>
        <v>0.35330742236142032</v>
      </c>
      <c r="G34" s="24">
        <f>'01_All_Raw_Data'!G32/'02_Common_Size_IS_BS'!G$31</f>
        <v>0.31083811946500661</v>
      </c>
      <c r="H34" s="24">
        <f>'01_All_Raw_Data'!H32/'02_Common_Size_IS_BS'!H$31</f>
        <v>0.26439018636470868</v>
      </c>
      <c r="I34" s="24">
        <f>'01_All_Raw_Data'!I32/'02_Common_Size_IS_BS'!I$31</f>
        <v>0.35288302879607031</v>
      </c>
      <c r="J34" s="24">
        <f>'01_All_Raw_Data'!J32/'02_Common_Size_IS_BS'!J$31</f>
        <v>0.31634179412264424</v>
      </c>
      <c r="K34" s="24">
        <f>'01_All_Raw_Data'!K32/'02_Common_Size_IS_BS'!K$31</f>
        <v>0.27986102459753887</v>
      </c>
      <c r="L34" s="24">
        <f>'01_All_Raw_Data'!L32/'02_Common_Size_IS_BS'!L$31</f>
        <v>0.33282695229121395</v>
      </c>
      <c r="M34" s="24">
        <f>'01_All_Raw_Data'!M32/'02_Common_Size_IS_BS'!M$31</f>
        <v>0.31617710939286858</v>
      </c>
      <c r="N34" s="24">
        <f>'01_All_Raw_Data'!N32/'02_Common_Size_IS_BS'!N$31</f>
        <v>0.29251217062050844</v>
      </c>
      <c r="O34" s="24">
        <f>'01_All_Raw_Data'!O32/'02_Common_Size_IS_BS'!O$31</f>
        <v>0.28159457493524637</v>
      </c>
      <c r="P34" s="24">
        <f>'01_All_Raw_Data'!P32/'02_Common_Size_IS_BS'!P$31</f>
        <v>0.2764879145076985</v>
      </c>
    </row>
    <row r="35" spans="1:17" x14ac:dyDescent="0.2">
      <c r="A35" s="6" t="s">
        <v>54</v>
      </c>
      <c r="B35" s="27">
        <f>'01_All_Raw_Data'!B33/'02_Common_Size_IS_BS'!B$31</f>
        <v>0.17281436438733364</v>
      </c>
      <c r="C35" s="27">
        <f>'01_All_Raw_Data'!C33/'02_Common_Size_IS_BS'!C$31</f>
        <v>6.3667963642911385E-2</v>
      </c>
      <c r="D35" s="27">
        <f>'01_All_Raw_Data'!D33/'02_Common_Size_IS_BS'!D$31</f>
        <v>0.12389773254487817</v>
      </c>
      <c r="E35" s="27">
        <f>'01_All_Raw_Data'!E33/'02_Common_Size_IS_BS'!E$31</f>
        <v>0.1878924440438636</v>
      </c>
      <c r="F35" s="27">
        <f>'01_All_Raw_Data'!F33/'02_Common_Size_IS_BS'!F$31</f>
        <v>6.0269423795328479E-2</v>
      </c>
      <c r="G35" s="27">
        <f>'01_All_Raw_Data'!G33/'02_Common_Size_IS_BS'!G$31</f>
        <v>0.13342918763479511</v>
      </c>
      <c r="H35" s="27">
        <f>'01_All_Raw_Data'!H33/'02_Common_Size_IS_BS'!H$31</f>
        <v>0.20299598962019344</v>
      </c>
      <c r="I35" s="27">
        <f>'01_All_Raw_Data'!I33/'02_Common_Size_IS_BS'!I$31</f>
        <v>6.231417904205732E-2</v>
      </c>
      <c r="J35" s="27">
        <f>'01_All_Raw_Data'!J33/'02_Common_Size_IS_BS'!J$31</f>
        <v>0.1351555290519674</v>
      </c>
      <c r="K35" s="27">
        <f>'01_All_Raw_Data'!K33/'02_Common_Size_IS_BS'!K$31</f>
        <v>0.20150049139709036</v>
      </c>
      <c r="L35" s="27">
        <f>'01_All_Raw_Data'!L33/'02_Common_Size_IS_BS'!L$31</f>
        <v>6.5550064419360426E-2</v>
      </c>
      <c r="M35" s="27">
        <f>'01_All_Raw_Data'!M33/'02_Common_Size_IS_BS'!M$31</f>
        <v>0.14243997922033713</v>
      </c>
      <c r="N35" s="27">
        <f>'01_All_Raw_Data'!N33/'02_Common_Size_IS_BS'!N$31</f>
        <v>0.16099219534811837</v>
      </c>
      <c r="O35" s="27">
        <f>'01_All_Raw_Data'!O33/'02_Common_Size_IS_BS'!O$31</f>
        <v>8.2057183323006114E-2</v>
      </c>
      <c r="P35" s="27">
        <f>'01_All_Raw_Data'!P33/'02_Common_Size_IS_BS'!P$31</f>
        <v>0.18322994879012655</v>
      </c>
    </row>
    <row r="36" spans="1:17" x14ac:dyDescent="0.2">
      <c r="A36" s="6" t="s">
        <v>169</v>
      </c>
      <c r="B36" s="27">
        <f>'01_All_Raw_Data'!B34/'02_Common_Size_IS_BS'!B$31</f>
        <v>0.40669458467186781</v>
      </c>
      <c r="C36" s="27">
        <f>'01_All_Raw_Data'!C34/'02_Common_Size_IS_BS'!C$31</f>
        <v>0.39146500904229919</v>
      </c>
      <c r="D36" s="27">
        <f>'01_All_Raw_Data'!D34/'02_Common_Size_IS_BS'!D$31</f>
        <v>0.41073165887469798</v>
      </c>
      <c r="E36" s="27">
        <f>'01_All_Raw_Data'!E34/'02_Common_Size_IS_BS'!E$31</f>
        <v>0.35975664713835059</v>
      </c>
      <c r="F36" s="27">
        <f>'01_All_Raw_Data'!F34/'02_Common_Size_IS_BS'!F$31</f>
        <v>0.42563676842383308</v>
      </c>
      <c r="G36" s="27">
        <f>'01_All_Raw_Data'!G34/'02_Common_Size_IS_BS'!G$31</f>
        <v>0.40145203466555013</v>
      </c>
      <c r="H36" s="27">
        <f>'01_All_Raw_Data'!H34/'02_Common_Size_IS_BS'!H$31</f>
        <v>0.33443913658881813</v>
      </c>
      <c r="I36" s="27">
        <f>'01_All_Raw_Data'!I34/'02_Common_Size_IS_BS'!I$31</f>
        <v>0.41303769266449192</v>
      </c>
      <c r="J36" s="27">
        <f>'01_All_Raw_Data'!J34/'02_Common_Size_IS_BS'!J$31</f>
        <v>0.38777988399868074</v>
      </c>
      <c r="K36" s="27">
        <f>'01_All_Raw_Data'!K34/'02_Common_Size_IS_BS'!K$31</f>
        <v>0.35579917777500936</v>
      </c>
      <c r="L36" s="27">
        <f>'01_All_Raw_Data'!L34/'02_Common_Size_IS_BS'!L$31</f>
        <v>0.43011749322154491</v>
      </c>
      <c r="M36" s="27">
        <f>'01_All_Raw_Data'!M34/'02_Common_Size_IS_BS'!M$31</f>
        <v>0.36379480614808524</v>
      </c>
      <c r="N36" s="27">
        <f>'01_All_Raw_Data'!N34/'02_Common_Size_IS_BS'!N$31</f>
        <v>0.37806970095046749</v>
      </c>
      <c r="O36" s="27">
        <f>'01_All_Raw_Data'!O34/'02_Common_Size_IS_BS'!O$31</f>
        <v>0.48432635058942158</v>
      </c>
      <c r="P36" s="27">
        <f>'01_All_Raw_Data'!P34/'02_Common_Size_IS_BS'!P$31</f>
        <v>0.39765119398269799</v>
      </c>
    </row>
    <row r="37" spans="1:17" x14ac:dyDescent="0.2">
      <c r="A37" s="6" t="s">
        <v>87</v>
      </c>
      <c r="B37" s="27">
        <f>'01_All_Raw_Data'!B35/'02_Common_Size_IS_BS'!B$31</f>
        <v>0.10178120697567691</v>
      </c>
      <c r="C37" s="27">
        <f>'01_All_Raw_Data'!C35/'02_Common_Size_IS_BS'!C$31</f>
        <v>4.17472383800584E-2</v>
      </c>
      <c r="D37" s="27">
        <f>'01_All_Raw_Data'!D35/'02_Common_Size_IS_BS'!D$31</f>
        <v>4.7310413101058706E-2</v>
      </c>
      <c r="E37" s="27">
        <f>'01_All_Raw_Data'!E35/'02_Common_Size_IS_BS'!E$31</f>
        <v>0.10353011867207451</v>
      </c>
      <c r="F37" s="27">
        <f>'01_All_Raw_Data'!F35/'02_Common_Size_IS_BS'!F$31</f>
        <v>4.2685181691256936E-2</v>
      </c>
      <c r="G37" s="27">
        <f>'01_All_Raw_Data'!G35/'02_Common_Size_IS_BS'!G$31</f>
        <v>4.7040235106374576E-2</v>
      </c>
      <c r="H37" s="27">
        <f>'01_All_Raw_Data'!H35/'02_Common_Size_IS_BS'!H$31</f>
        <v>0.11134701580561453</v>
      </c>
      <c r="I37" s="27">
        <f>'01_All_Raw_Data'!I35/'02_Common_Size_IS_BS'!I$31</f>
        <v>4.8771585646828021E-2</v>
      </c>
      <c r="J37" s="27">
        <f>'01_All_Raw_Data'!J35/'02_Common_Size_IS_BS'!J$31</f>
        <v>5.14726703956771E-2</v>
      </c>
      <c r="K37" s="27">
        <f>'01_All_Raw_Data'!K35/'02_Common_Size_IS_BS'!K$31</f>
        <v>9.3932976205307092E-2</v>
      </c>
      <c r="L37" s="27">
        <f>'01_All_Raw_Data'!L35/'02_Common_Size_IS_BS'!L$31</f>
        <v>4.6935753706516932E-2</v>
      </c>
      <c r="M37" s="27">
        <f>'01_All_Raw_Data'!M35/'02_Common_Size_IS_BS'!M$31</f>
        <v>5.0952726266947745E-2</v>
      </c>
      <c r="N37" s="27">
        <f>'01_All_Raw_Data'!N35/'02_Common_Size_IS_BS'!N$31</f>
        <v>0.10093501275017387</v>
      </c>
      <c r="O37" s="27">
        <f>'01_All_Raw_Data'!O35/'02_Common_Size_IS_BS'!O$31</f>
        <v>4.1007424056405894E-2</v>
      </c>
      <c r="P37" s="27">
        <f>'01_All_Raw_Data'!P35/'02_Common_Size_IS_BS'!P$31</f>
        <v>4.469087737817555E-2</v>
      </c>
    </row>
    <row r="38" spans="1:17" x14ac:dyDescent="0.2">
      <c r="A38" s="6" t="s">
        <v>170</v>
      </c>
      <c r="B38" s="27">
        <f>'01_All_Raw_Data'!B36/'02_Common_Size_IS_BS'!B$31</f>
        <v>7.8146512161541989E-2</v>
      </c>
      <c r="C38" s="27">
        <f>'01_All_Raw_Data'!C36/'02_Common_Size_IS_BS'!C$31</f>
        <v>0.13422529808271944</v>
      </c>
      <c r="D38" s="27">
        <f>'01_All_Raw_Data'!D36/'02_Common_Size_IS_BS'!D$31</f>
        <v>0.10298742992271133</v>
      </c>
      <c r="E38" s="27">
        <f>'01_All_Raw_Data'!E36/'02_Common_Size_IS_BS'!E$31</f>
        <v>9.7987081267838366E-2</v>
      </c>
      <c r="F38" s="27">
        <f>'01_All_Raw_Data'!F36/'02_Common_Size_IS_BS'!F$31</f>
        <v>0.1181012037281612</v>
      </c>
      <c r="G38" s="27">
        <f>'01_All_Raw_Data'!G36/'02_Common_Size_IS_BS'!G$31</f>
        <v>0.10723884311231544</v>
      </c>
      <c r="H38" s="27">
        <f>'01_All_Raw_Data'!H36/'02_Common_Size_IS_BS'!H$31</f>
        <v>8.6473814578910124E-2</v>
      </c>
      <c r="I38" s="27">
        <f>'01_All_Raw_Data'!I36/'02_Common_Size_IS_BS'!I$31</f>
        <v>0.12299351385055242</v>
      </c>
      <c r="J38" s="27">
        <f>'01_All_Raw_Data'!J36/'02_Common_Size_IS_BS'!J$31</f>
        <v>0.10925178815933691</v>
      </c>
      <c r="K38" s="27">
        <f>'01_All_Raw_Data'!K36/'02_Common_Size_IS_BS'!K$31</f>
        <v>6.8560275736057469E-2</v>
      </c>
      <c r="L38" s="27">
        <f>'01_All_Raw_Data'!L36/'02_Common_Size_IS_BS'!L$31</f>
        <v>0.12456973636136377</v>
      </c>
      <c r="M38" s="27">
        <f>'01_All_Raw_Data'!M36/'02_Common_Size_IS_BS'!M$31</f>
        <v>0.12663537897176128</v>
      </c>
      <c r="N38" s="27">
        <f>'01_All_Raw_Data'!N36/'02_Common_Size_IS_BS'!N$31</f>
        <v>6.708909666950004E-2</v>
      </c>
      <c r="O38" s="27">
        <f>'01_All_Raw_Data'!O36/'02_Common_Size_IS_BS'!O$31</f>
        <v>0.11101446709592004</v>
      </c>
      <c r="P38" s="27">
        <f>'01_All_Raw_Data'!P36/'02_Common_Size_IS_BS'!P$31</f>
        <v>9.7938173583877686E-2</v>
      </c>
    </row>
    <row r="39" spans="1:17" x14ac:dyDescent="0.2">
      <c r="A39" s="7" t="s">
        <v>78</v>
      </c>
      <c r="B39" s="27">
        <f>'01_All_Raw_Data'!B37/'02_Common_Size_IS_BS'!B$31</f>
        <v>0.51690855897200549</v>
      </c>
      <c r="C39" s="27">
        <f>'01_All_Raw_Data'!C37/'02_Common_Size_IS_BS'!C$31</f>
        <v>0.28875858235538193</v>
      </c>
      <c r="D39" s="27">
        <f>'01_All_Raw_Data'!D37/'02_Common_Size_IS_BS'!D$31</f>
        <v>0.35149200812454323</v>
      </c>
      <c r="E39" s="27">
        <f>'01_All_Raw_Data'!E37/'02_Common_Size_IS_BS'!E$31</f>
        <v>0.49023584197085773</v>
      </c>
      <c r="F39" s="27">
        <f>'01_All_Raw_Data'!F37/'02_Common_Size_IS_BS'!F$31</f>
        <v>0.28235160937323117</v>
      </c>
      <c r="G39" s="27">
        <f>'01_All_Raw_Data'!G37/'02_Common_Size_IS_BS'!G$31</f>
        <v>0.34292508354334378</v>
      </c>
      <c r="H39" s="27">
        <f>'01_All_Raw_Data'!H37/'02_Common_Size_IS_BS'!H$31</f>
        <v>0.46589702760084928</v>
      </c>
      <c r="I39" s="27">
        <f>'01_All_Raw_Data'!I37/'02_Common_Size_IS_BS'!I$31</f>
        <v>0.31341104546387755</v>
      </c>
      <c r="J39" s="27">
        <f>'01_All_Raw_Data'!J37/'02_Common_Size_IS_BS'!J$31</f>
        <v>0.34293014934919996</v>
      </c>
      <c r="K39" s="27">
        <f>'01_All_Raw_Data'!K37/'02_Common_Size_IS_BS'!K$31</f>
        <v>0.46221779272732305</v>
      </c>
      <c r="L39" s="27">
        <f>'01_All_Raw_Data'!L37/'02_Common_Size_IS_BS'!L$31</f>
        <v>0.33999192354287255</v>
      </c>
      <c r="M39" s="27">
        <f>'01_All_Raw_Data'!M37/'02_Common_Size_IS_BS'!M$31</f>
        <v>0.32396948297291017</v>
      </c>
      <c r="N39" s="27">
        <f>'01_All_Raw_Data'!N37/'02_Common_Size_IS_BS'!N$31</f>
        <v>0.48614481106560542</v>
      </c>
      <c r="O39" s="27">
        <f>'01_All_Raw_Data'!O37/'02_Common_Size_IS_BS'!O$31</f>
        <v>0.3374308685260804</v>
      </c>
      <c r="P39" s="27">
        <f>'01_All_Raw_Data'!P37/'02_Common_Size_IS_BS'!P$31</f>
        <v>0.31099167815909301</v>
      </c>
    </row>
    <row r="40" spans="1:17" x14ac:dyDescent="0.2">
      <c r="A40" s="7" t="s">
        <v>171</v>
      </c>
      <c r="B40" s="27">
        <f>'01_All_Raw_Data'!B38/'02_Common_Size_IS_BS'!B$31</f>
        <v>0.75943666819642042</v>
      </c>
      <c r="C40" s="27">
        <f>'01_All_Raw_Data'!C38/'02_Common_Size_IS_BS'!C$31</f>
        <v>0.63110550914798835</v>
      </c>
      <c r="D40" s="27">
        <f>'01_All_Raw_Data'!D38/'02_Common_Size_IS_BS'!D$31</f>
        <v>0.68492723444334624</v>
      </c>
      <c r="E40" s="27">
        <f>'01_All_Raw_Data'!E38/'02_Common_Size_IS_BS'!E$31</f>
        <v>0.74916629112212707</v>
      </c>
      <c r="F40" s="27">
        <f>'01_All_Raw_Data'!F38/'02_Common_Size_IS_BS'!F$31</f>
        <v>0.64669257763857968</v>
      </c>
      <c r="G40" s="27">
        <f>'01_All_Raw_Data'!G38/'02_Common_Size_IS_BS'!G$31</f>
        <v>0.68916030051903521</v>
      </c>
      <c r="H40" s="27">
        <f>'01_All_Raw_Data'!H38/'02_Common_Size_IS_BS'!H$31</f>
        <v>0.73525595659353626</v>
      </c>
      <c r="I40" s="27">
        <f>'01_All_Raw_Data'!I38/'02_Common_Size_IS_BS'!I$31</f>
        <v>0.64711697120392975</v>
      </c>
      <c r="J40" s="27">
        <f>'01_All_Raw_Data'!J38/'02_Common_Size_IS_BS'!J$31</f>
        <v>0.68365987160566211</v>
      </c>
      <c r="K40" s="27">
        <f>'01_All_Raw_Data'!K38/'02_Common_Size_IS_BS'!K$31</f>
        <v>0.71979292111346427</v>
      </c>
      <c r="L40" s="27">
        <f>'01_All_Raw_Data'!L38/'02_Common_Size_IS_BS'!L$31</f>
        <v>0.66717304770878605</v>
      </c>
      <c r="M40" s="27">
        <f>'01_All_Raw_Data'!M38/'02_Common_Size_IS_BS'!M$31</f>
        <v>0.68382289060713142</v>
      </c>
      <c r="N40" s="27">
        <f>'01_All_Raw_Data'!N38/'02_Common_Size_IS_BS'!N$31</f>
        <v>0.70708600571825975</v>
      </c>
      <c r="O40" s="27">
        <f>'01_All_Raw_Data'!O38/'02_Common_Size_IS_BS'!O$31</f>
        <v>0.71840542506475358</v>
      </c>
      <c r="P40" s="27">
        <f>'01_All_Raw_Data'!P38/'02_Common_Size_IS_BS'!P$31</f>
        <v>0.72351019373487779</v>
      </c>
    </row>
    <row r="41" spans="1:17" x14ac:dyDescent="0.2">
      <c r="A41" s="15" t="s">
        <v>172</v>
      </c>
      <c r="B41" s="26">
        <f>'01_All_Raw_Data'!B39/'02_Common_Size_IS_BS'!B$31</f>
        <v>1</v>
      </c>
      <c r="C41" s="25">
        <f>'01_All_Raw_Data'!C39/'02_Common_Size_IS_BS'!C$31</f>
        <v>1</v>
      </c>
      <c r="D41" s="25">
        <f>'01_All_Raw_Data'!D39/'02_Common_Size_IS_BS'!D$31</f>
        <v>1</v>
      </c>
      <c r="E41" s="25">
        <f>'01_All_Raw_Data'!E39/'02_Common_Size_IS_BS'!E$31</f>
        <v>1</v>
      </c>
      <c r="F41" s="25">
        <f>'01_All_Raw_Data'!F39/'02_Common_Size_IS_BS'!F$31</f>
        <v>1</v>
      </c>
      <c r="G41" s="25">
        <f>'01_All_Raw_Data'!G39/'02_Common_Size_IS_BS'!G$31</f>
        <v>1</v>
      </c>
      <c r="H41" s="25">
        <f>'01_All_Raw_Data'!H39/'02_Common_Size_IS_BS'!H$31</f>
        <v>1</v>
      </c>
      <c r="I41" s="25">
        <f>'01_All_Raw_Data'!I39/'02_Common_Size_IS_BS'!I$31</f>
        <v>1</v>
      </c>
      <c r="J41" s="25">
        <f>'01_All_Raw_Data'!J39/'02_Common_Size_IS_BS'!J$31</f>
        <v>1</v>
      </c>
      <c r="K41" s="25">
        <f>'01_All_Raw_Data'!K39/'02_Common_Size_IS_BS'!K$31</f>
        <v>1</v>
      </c>
      <c r="L41" s="25">
        <f>'01_All_Raw_Data'!L39/'02_Common_Size_IS_BS'!L$31</f>
        <v>1</v>
      </c>
      <c r="M41" s="25">
        <f>'01_All_Raw_Data'!M39/'02_Common_Size_IS_BS'!M$31</f>
        <v>1</v>
      </c>
      <c r="N41" s="25">
        <f>'01_All_Raw_Data'!N39/'02_Common_Size_IS_BS'!N$31</f>
        <v>1</v>
      </c>
      <c r="O41" s="25">
        <f>'01_All_Raw_Data'!O39/'02_Common_Size_IS_BS'!O$31</f>
        <v>1</v>
      </c>
      <c r="P41" s="25">
        <f>'01_All_Raw_Data'!P39/'02_Common_Size_IS_BS'!P$31</f>
        <v>1</v>
      </c>
      <c r="Q41" s="19"/>
    </row>
  </sheetData>
  <mergeCells count="10">
    <mergeCell ref="B19:D19"/>
    <mergeCell ref="E19:G19"/>
    <mergeCell ref="H19:J19"/>
    <mergeCell ref="K19:M19"/>
    <mergeCell ref="N19:P19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16ED-D916-4B8C-A40E-BEAEB95079D9}">
  <sheetPr>
    <tabColor rgb="FF002060"/>
  </sheetPr>
  <dimension ref="A2:F45"/>
  <sheetViews>
    <sheetView zoomScale="90" zoomScaleNormal="90" workbookViewId="0">
      <selection activeCell="F28" sqref="F28"/>
    </sheetView>
  </sheetViews>
  <sheetFormatPr defaultRowHeight="12.75" x14ac:dyDescent="0.2"/>
  <cols>
    <col min="1" max="1" width="19.28515625" style="1" bestFit="1" customWidth="1"/>
    <col min="2" max="16384" width="9.140625" style="1"/>
  </cols>
  <sheetData>
    <row r="2" spans="1:6" x14ac:dyDescent="0.2">
      <c r="A2" s="29" t="s">
        <v>191</v>
      </c>
      <c r="B2" s="28">
        <v>2021</v>
      </c>
      <c r="C2" s="28">
        <v>2022</v>
      </c>
      <c r="D2" s="28">
        <v>2023</v>
      </c>
      <c r="E2" s="28">
        <v>2024</v>
      </c>
      <c r="F2" s="28">
        <v>2025</v>
      </c>
    </row>
    <row r="3" spans="1:6" x14ac:dyDescent="0.2">
      <c r="A3" s="1" t="s">
        <v>150</v>
      </c>
      <c r="B3" s="31" cm="1">
        <f t="array" ref="B3">INDEX('02_Common_Size_IS_BS'!$B$4:$P$15, MATCH("Gross Profit",'02_Common_Size_IS_BS'!$A$4:$A$15,0), MATCH(B$2,'02_Common_Size_IS_BS'!$B$2:$P$2,0)+MATCH($A3,'02_Common_Size_IS_BS'!$B$3:$D$3,0)-1)</f>
        <v>0.18348281860696292</v>
      </c>
      <c r="C3" s="31" cm="1">
        <f t="array" ref="C3">INDEX('02_Common_Size_IS_BS'!$B$4:$P$15, MATCH("Gross Profit",'02_Common_Size_IS_BS'!$A$4:$A$15,0), MATCH(C$2,'02_Common_Size_IS_BS'!$B$2:$P$2,0)+MATCH($A3,'02_Common_Size_IS_BS'!$B$3:$D$3,0)-1)</f>
        <v>0.17361118139403078</v>
      </c>
      <c r="D3" s="31" cm="1">
        <f t="array" ref="D3">INDEX('02_Common_Size_IS_BS'!$B$4:$P$15, MATCH("Gross Profit",'02_Common_Size_IS_BS'!$A$4:$A$15,0), MATCH(D$2,'02_Common_Size_IS_BS'!$B$2:$P$2,0)+MATCH($A3,'02_Common_Size_IS_BS'!$B$3:$D$3,0)-1)</f>
        <v>0.15767469455105029</v>
      </c>
      <c r="E3" s="31" cm="1">
        <f t="array" ref="E3">INDEX('02_Common_Size_IS_BS'!$B$4:$P$15, MATCH("Gross Profit",'02_Common_Size_IS_BS'!$A$4:$A$15,0), MATCH(E$2,'02_Common_Size_IS_BS'!$B$2:$P$2,0)+MATCH($A3,'02_Common_Size_IS_BS'!$B$3:$D$3,0)-1)</f>
        <v>0.16239543473513299</v>
      </c>
      <c r="F3" s="31" cm="1">
        <f t="array" ref="F3">INDEX('02_Common_Size_IS_BS'!$B$4:$P$15, MATCH("Gross Profit",'02_Common_Size_IS_BS'!$A$4:$A$15,0), MATCH(F$2,'02_Common_Size_IS_BS'!$B$2:$P$2,0)+MATCH($A3,'02_Common_Size_IS_BS'!$B$3:$D$3,0)-1)</f>
        <v>0.15078184302413847</v>
      </c>
    </row>
    <row r="4" spans="1:6" x14ac:dyDescent="0.2">
      <c r="A4" s="1" t="s">
        <v>151</v>
      </c>
      <c r="B4" s="31" cm="1">
        <f t="array" ref="B4">INDEX('02_Common_Size_IS_BS'!$B$4:$P$15, MATCH("Gross Profit",'02_Common_Size_IS_BS'!$A$4:$A$15,0), MATCH(B$2,'02_Common_Size_IS_BS'!$B$2:$P$2,0)+MATCH($A4,'02_Common_Size_IS_BS'!$B$3:$D$3,0)-1)</f>
        <v>0.22910084918554369</v>
      </c>
      <c r="C4" s="31" cm="1">
        <f t="array" ref="C4">INDEX('02_Common_Size_IS_BS'!$B$4:$P$15, MATCH("Gross Profit",'02_Common_Size_IS_BS'!$A$4:$A$15,0), MATCH(C$2,'02_Common_Size_IS_BS'!$B$2:$P$2,0)+MATCH($A4,'02_Common_Size_IS_BS'!$B$3:$D$3,0)-1)</f>
        <v>0.22677429891278988</v>
      </c>
      <c r="D4" s="31" cm="1">
        <f t="array" ref="D4">INDEX('02_Common_Size_IS_BS'!$B$4:$P$15, MATCH("Gross Profit",'02_Common_Size_IS_BS'!$A$4:$A$15,0), MATCH(D$2,'02_Common_Size_IS_BS'!$B$2:$P$2,0)+MATCH($A4,'02_Common_Size_IS_BS'!$B$3:$D$3,0)-1)</f>
        <v>0.22437964207860694</v>
      </c>
      <c r="E4" s="31" cm="1">
        <f t="array" ref="E4">INDEX('02_Common_Size_IS_BS'!$B$4:$P$15, MATCH("Gross Profit",'02_Common_Size_IS_BS'!$A$4:$A$15,0), MATCH(E$2,'02_Common_Size_IS_BS'!$B$2:$P$2,0)+MATCH($A4,'02_Common_Size_IS_BS'!$B$3:$D$3,0)-1)</f>
        <v>0.19627182438836765</v>
      </c>
      <c r="F4" s="31" cm="1">
        <f t="array" ref="F4">INDEX('02_Common_Size_IS_BS'!$B$4:$P$15, MATCH("Gross Profit",'02_Common_Size_IS_BS'!$A$4:$A$15,0), MATCH(F$2,'02_Common_Size_IS_BS'!$B$2:$P$2,0)+MATCH($A4,'02_Common_Size_IS_BS'!$B$3:$D$3,0)-1)</f>
        <v>0.16891554600874339</v>
      </c>
    </row>
    <row r="5" spans="1:6" x14ac:dyDescent="0.2">
      <c r="A5" s="1" t="s">
        <v>152</v>
      </c>
      <c r="B5" s="31" cm="1">
        <f t="array" ref="B5">INDEX('02_Common_Size_IS_BS'!$B$4:$P$15, MATCH("Gross Profit",'02_Common_Size_IS_BS'!$A$4:$A$15,0), MATCH(B$2,'02_Common_Size_IS_BS'!$B$2:$P$2,0)+MATCH($A5,'02_Common_Size_IS_BS'!$B$3:$D$3,0)-1)</f>
        <v>0.18881294964028777</v>
      </c>
      <c r="C5" s="31" cm="1">
        <f t="array" ref="C5">INDEX('02_Common_Size_IS_BS'!$B$4:$P$15, MATCH("Gross Profit",'02_Common_Size_IS_BS'!$A$4:$A$15,0), MATCH(C$2,'02_Common_Size_IS_BS'!$B$2:$P$2,0)+MATCH($A5,'02_Common_Size_IS_BS'!$B$3:$D$3,0)-1)</f>
        <v>0.18700591291883176</v>
      </c>
      <c r="D5" s="31" cm="1">
        <f t="array" ref="D5">INDEX('02_Common_Size_IS_BS'!$B$4:$P$15, MATCH("Gross Profit",'02_Common_Size_IS_BS'!$A$4:$A$15,0), MATCH(D$2,'02_Common_Size_IS_BS'!$B$2:$P$2,0)+MATCH($A5,'02_Common_Size_IS_BS'!$B$3:$D$3,0)-1)</f>
        <v>0.18934231919673331</v>
      </c>
      <c r="E5" s="31" cm="1">
        <f t="array" ref="E5">INDEX('02_Common_Size_IS_BS'!$B$4:$P$15, MATCH("Gross Profit",'02_Common_Size_IS_BS'!$A$4:$A$15,0), MATCH(E$2,'02_Common_Size_IS_BS'!$B$2:$P$2,0)+MATCH($A5,'02_Common_Size_IS_BS'!$B$3:$D$3,0)-1)</f>
        <v>0.18318466315115076</v>
      </c>
      <c r="F5" s="31" cm="1">
        <f t="array" ref="F5">INDEX('02_Common_Size_IS_BS'!$B$4:$P$15, MATCH("Gross Profit",'02_Common_Size_IS_BS'!$A$4:$A$15,0), MATCH(F$2,'02_Common_Size_IS_BS'!$B$2:$P$2,0)+MATCH($A5,'02_Common_Size_IS_BS'!$B$3:$D$3,0)-1)</f>
        <v>0.15918276055953007</v>
      </c>
    </row>
    <row r="10" spans="1:6" x14ac:dyDescent="0.2">
      <c r="A10" s="29" t="s">
        <v>192</v>
      </c>
      <c r="B10" s="28">
        <v>2021</v>
      </c>
      <c r="C10" s="28">
        <v>2022</v>
      </c>
      <c r="D10" s="28">
        <v>2023</v>
      </c>
      <c r="E10" s="28">
        <v>2024</v>
      </c>
      <c r="F10" s="28">
        <v>2025</v>
      </c>
    </row>
    <row r="11" spans="1:6" x14ac:dyDescent="0.2">
      <c r="A11" s="1" t="s">
        <v>150</v>
      </c>
      <c r="B11" s="31" cm="1">
        <f t="array" ref="B11">-INDEX('02_Common_Size_IS_BS'!$B$4:$P$15, MATCH("Total Operating Expenses",'02_Common_Size_IS_BS'!$A$4:$A$15,0), MATCH(B$10,'02_Common_Size_IS_BS'!$B$2:$P$2,0)+MATCH($A11,'02_Common_Size_IS_BS'!$B$3:$D$3,0)-1)</f>
        <v>0.14473713937148408</v>
      </c>
      <c r="C11" s="31" cm="1">
        <f t="array" ref="C11">-INDEX('02_Common_Size_IS_BS'!$B$4:$P$15, MATCH("Total Operating Expenses",'02_Common_Size_IS_BS'!$A$4:$A$15,0), MATCH(C$10,'02_Common_Size_IS_BS'!$B$2:$P$2,0)+MATCH($A11,'02_Common_Size_IS_BS'!$B$3:$D$3,0)-1)</f>
        <v>0.15002985618427844</v>
      </c>
      <c r="D11" s="31" cm="1">
        <f t="array" ref="D11">-INDEX('02_Common_Size_IS_BS'!$B$4:$P$15, MATCH("Total Operating Expenses",'02_Common_Size_IS_BS'!$A$4:$A$15,0), MATCH(D$10,'02_Common_Size_IS_BS'!$B$2:$P$2,0)+MATCH($A11,'02_Common_Size_IS_BS'!$B$3:$D$3,0)-1)</f>
        <v>0.13966294009677957</v>
      </c>
      <c r="E11" s="31" cm="1">
        <f t="array" ref="E11">-INDEX('02_Common_Size_IS_BS'!$B$4:$P$15, MATCH("Total Operating Expenses",'02_Common_Size_IS_BS'!$A$4:$A$15,0), MATCH(E$10,'02_Common_Size_IS_BS'!$B$2:$P$2,0)+MATCH($A11,'02_Common_Size_IS_BS'!$B$3:$D$3,0)-1)</f>
        <v>0.1570021933780871</v>
      </c>
      <c r="F11" s="31" cm="1">
        <f t="array" ref="F11">-INDEX('02_Common_Size_IS_BS'!$B$4:$P$15, MATCH("Total Operating Expenses",'02_Common_Size_IS_BS'!$A$4:$A$15,0), MATCH(F$10,'02_Common_Size_IS_BS'!$B$2:$P$2,0)+MATCH($A11,'02_Common_Size_IS_BS'!$B$3:$D$3,0)-1)</f>
        <v>0.1535448610900258</v>
      </c>
    </row>
    <row r="12" spans="1:6" x14ac:dyDescent="0.2">
      <c r="A12" s="1" t="s">
        <v>151</v>
      </c>
      <c r="B12" s="31" cm="1">
        <f t="array" ref="B12">-INDEX('02_Common_Size_IS_BS'!$B$4:$P$15, MATCH("Total Operating Expenses",'02_Common_Size_IS_BS'!$A$4:$A$15,0), MATCH(B$10,'02_Common_Size_IS_BS'!$B$2:$P$2,0)+MATCH($A12,'02_Common_Size_IS_BS'!$B$3:$D$3,0)-1)</f>
        <v>0.12185849895065463</v>
      </c>
      <c r="C12" s="31" cm="1">
        <f t="array" ref="C12">-INDEX('02_Common_Size_IS_BS'!$B$4:$P$15, MATCH("Total Operating Expenses",'02_Common_Size_IS_BS'!$A$4:$A$15,0), MATCH(C$10,'02_Common_Size_IS_BS'!$B$2:$P$2,0)+MATCH($A12,'02_Common_Size_IS_BS'!$B$3:$D$3,0)-1)</f>
        <v>0.10421485564969303</v>
      </c>
      <c r="D12" s="31" cm="1">
        <f t="array" ref="D12">-INDEX('02_Common_Size_IS_BS'!$B$4:$P$15, MATCH("Total Operating Expenses",'02_Common_Size_IS_BS'!$A$4:$A$15,0), MATCH(D$10,'02_Common_Size_IS_BS'!$B$2:$P$2,0)+MATCH($A12,'02_Common_Size_IS_BS'!$B$3:$D$3,0)-1)</f>
        <v>0.1106658486600791</v>
      </c>
      <c r="E12" s="31" cm="1">
        <f t="array" ref="E12">-INDEX('02_Common_Size_IS_BS'!$B$4:$P$15, MATCH("Total Operating Expenses",'02_Common_Size_IS_BS'!$A$4:$A$15,0), MATCH(E$10,'02_Common_Size_IS_BS'!$B$2:$P$2,0)+MATCH($A12,'02_Common_Size_IS_BS'!$B$3:$D$3,0)-1)</f>
        <v>0.11043037487808563</v>
      </c>
      <c r="F12" s="31" cm="1">
        <f t="array" ref="F12">-INDEX('02_Common_Size_IS_BS'!$B$4:$P$15, MATCH("Total Operating Expenses",'02_Common_Size_IS_BS'!$A$4:$A$15,0), MATCH(F$10,'02_Common_Size_IS_BS'!$B$2:$P$2,0)+MATCH($A12,'02_Common_Size_IS_BS'!$B$3:$D$3,0)-1)</f>
        <v>0.13405539504137232</v>
      </c>
    </row>
    <row r="13" spans="1:6" x14ac:dyDescent="0.2">
      <c r="A13" s="1" t="s">
        <v>152</v>
      </c>
      <c r="B13" s="31" cm="1">
        <f t="array" ref="B13">-INDEX('02_Common_Size_IS_BS'!$B$4:$P$15, MATCH("Total Operating Expenses",'02_Common_Size_IS_BS'!$A$4:$A$15,0), MATCH(B$10,'02_Common_Size_IS_BS'!$B$2:$P$2,0)+MATCH($A13,'02_Common_Size_IS_BS'!$B$3:$D$3,0)-1)</f>
        <v>0.11177458033573141</v>
      </c>
      <c r="C13" s="31" cm="1">
        <f t="array" ref="C13">-INDEX('02_Common_Size_IS_BS'!$B$4:$P$15, MATCH("Total Operating Expenses",'02_Common_Size_IS_BS'!$A$4:$A$15,0), MATCH(C$10,'02_Common_Size_IS_BS'!$B$2:$P$2,0)+MATCH($A13,'02_Common_Size_IS_BS'!$B$3:$D$3,0)-1)</f>
        <v>0.10777280057337395</v>
      </c>
      <c r="D13" s="31" cm="1">
        <f t="array" ref="D13">-INDEX('02_Common_Size_IS_BS'!$B$4:$P$15, MATCH("Total Operating Expenses",'02_Common_Size_IS_BS'!$A$4:$A$15,0), MATCH(D$10,'02_Common_Size_IS_BS'!$B$2:$P$2,0)+MATCH($A13,'02_Common_Size_IS_BS'!$B$3:$D$3,0)-1)</f>
        <v>0.11929230120018369</v>
      </c>
      <c r="E13" s="31" cm="1">
        <f t="array" ref="E13">-INDEX('02_Common_Size_IS_BS'!$B$4:$P$15, MATCH("Total Operating Expenses",'02_Common_Size_IS_BS'!$A$4:$A$15,0), MATCH(E$10,'02_Common_Size_IS_BS'!$B$2:$P$2,0)+MATCH($A13,'02_Common_Size_IS_BS'!$B$3:$D$3,0)-1)</f>
        <v>0.12447636883347298</v>
      </c>
      <c r="F13" s="31" cm="1">
        <f t="array" ref="F13">-INDEX('02_Common_Size_IS_BS'!$B$4:$P$15, MATCH("Total Operating Expenses",'02_Common_Size_IS_BS'!$A$4:$A$15,0), MATCH(F$10,'02_Common_Size_IS_BS'!$B$2:$P$2,0)+MATCH($A13,'02_Common_Size_IS_BS'!$B$3:$D$3,0)-1)</f>
        <v>0.13163183841596954</v>
      </c>
    </row>
    <row r="18" spans="1:6" x14ac:dyDescent="0.2">
      <c r="A18" s="29" t="s">
        <v>193</v>
      </c>
      <c r="B18" s="28">
        <v>2021</v>
      </c>
      <c r="C18" s="28">
        <v>2022</v>
      </c>
      <c r="D18" s="28">
        <v>2023</v>
      </c>
      <c r="E18" s="28">
        <v>2024</v>
      </c>
      <c r="F18" s="28">
        <v>2025</v>
      </c>
    </row>
    <row r="19" spans="1:6" x14ac:dyDescent="0.2">
      <c r="A19" s="1" t="s">
        <v>150</v>
      </c>
      <c r="B19" s="31" cm="1">
        <f t="array" ref="B19">INDEX('02_Common_Size_IS_BS'!$B$4:$P$15, MATCH("Operating Profit (EBIT)",'02_Common_Size_IS_BS'!$A$4:$A$15,0), MATCH(B$18,'02_Common_Size_IS_BS'!$B$2:$P$2,0)+MATCH($A19,'02_Common_Size_IS_BS'!$B$3:$D$3,0)-1)</f>
        <v>3.8745679235478843E-2</v>
      </c>
      <c r="C19" s="31" cm="1">
        <f t="array" ref="C19">INDEX('02_Common_Size_IS_BS'!$B$4:$P$15, MATCH("Operating Profit (EBIT)",'02_Common_Size_IS_BS'!$A$4:$A$15,0), MATCH(C$18,'02_Common_Size_IS_BS'!$B$2:$P$2,0)+MATCH($A19,'02_Common_Size_IS_BS'!$B$3:$D$3,0)-1)</f>
        <v>2.3581325209752344E-2</v>
      </c>
      <c r="D19" s="31" cm="1">
        <f t="array" ref="D19">INDEX('02_Common_Size_IS_BS'!$B$4:$P$15, MATCH("Operating Profit (EBIT)",'02_Common_Size_IS_BS'!$A$4:$A$15,0), MATCH(D$18,'02_Common_Size_IS_BS'!$B$2:$P$2,0)+MATCH($A19,'02_Common_Size_IS_BS'!$B$3:$D$3,0)-1)</f>
        <v>1.8011754454270723E-2</v>
      </c>
      <c r="E19" s="31" cm="1">
        <f t="array" ref="E19">INDEX('02_Common_Size_IS_BS'!$B$4:$P$15, MATCH("Operating Profit (EBIT)",'02_Common_Size_IS_BS'!$A$4:$A$15,0), MATCH(E$18,'02_Common_Size_IS_BS'!$B$2:$P$2,0)+MATCH($A19,'02_Common_Size_IS_BS'!$B$3:$D$3,0)-1)</f>
        <v>5.3932413570458712E-3</v>
      </c>
      <c r="F19" s="31" cm="1">
        <f t="array" ref="F19">INDEX('02_Common_Size_IS_BS'!$B$4:$P$15, MATCH("Operating Profit (EBIT)",'02_Common_Size_IS_BS'!$A$4:$A$15,0), MATCH(F$18,'02_Common_Size_IS_BS'!$B$2:$P$2,0)+MATCH($A19,'02_Common_Size_IS_BS'!$B$3:$D$3,0)-1)</f>
        <v>-2.7630180658873541E-3</v>
      </c>
    </row>
    <row r="20" spans="1:6" x14ac:dyDescent="0.2">
      <c r="A20" s="1" t="s">
        <v>151</v>
      </c>
      <c r="B20" s="31" cm="1">
        <f t="array" ref="B20">INDEX('02_Common_Size_IS_BS'!$B$4:$P$15, MATCH("Operating Profit (EBIT)",'02_Common_Size_IS_BS'!$A$4:$A$15,0), MATCH(B$18,'02_Common_Size_IS_BS'!$B$2:$P$2,0)+MATCH($A20,'02_Common_Size_IS_BS'!$B$3:$D$3,0)-1)</f>
        <v>0.10724235023488905</v>
      </c>
      <c r="C20" s="31" cm="1">
        <f t="array" ref="C20">INDEX('02_Common_Size_IS_BS'!$B$4:$P$15, MATCH("Operating Profit (EBIT)",'02_Common_Size_IS_BS'!$A$4:$A$15,0), MATCH(C$18,'02_Common_Size_IS_BS'!$B$2:$P$2,0)+MATCH($A20,'02_Common_Size_IS_BS'!$B$3:$D$3,0)-1)</f>
        <v>0.12255944326309685</v>
      </c>
      <c r="D20" s="31" cm="1">
        <f t="array" ref="D20">INDEX('02_Common_Size_IS_BS'!$B$4:$P$15, MATCH("Operating Profit (EBIT)",'02_Common_Size_IS_BS'!$A$4:$A$15,0), MATCH(D$18,'02_Common_Size_IS_BS'!$B$2:$P$2,0)+MATCH($A20,'02_Common_Size_IS_BS'!$B$3:$D$3,0)-1)</f>
        <v>0.11371379341852784</v>
      </c>
      <c r="E20" s="31" cm="1">
        <f t="array" ref="E20">INDEX('02_Common_Size_IS_BS'!$B$4:$P$15, MATCH("Operating Profit (EBIT)",'02_Common_Size_IS_BS'!$A$4:$A$15,0), MATCH(E$18,'02_Common_Size_IS_BS'!$B$2:$P$2,0)+MATCH($A20,'02_Common_Size_IS_BS'!$B$3:$D$3,0)-1)</f>
        <v>8.5841449510282011E-2</v>
      </c>
      <c r="F20" s="31" cm="1">
        <f t="array" ref="F20">INDEX('02_Common_Size_IS_BS'!$B$4:$P$15, MATCH("Operating Profit (EBIT)",'02_Common_Size_IS_BS'!$A$4:$A$15,0), MATCH(F$18,'02_Common_Size_IS_BS'!$B$2:$P$2,0)+MATCH($A20,'02_Common_Size_IS_BS'!$B$3:$D$3,0)-1)</f>
        <v>3.4860150967371079E-2</v>
      </c>
    </row>
    <row r="21" spans="1:6" x14ac:dyDescent="0.2">
      <c r="A21" s="1" t="s">
        <v>152</v>
      </c>
      <c r="B21" s="31" cm="1">
        <f t="array" ref="B21">INDEX('02_Common_Size_IS_BS'!$B$4:$P$15, MATCH("Operating Profit (EBIT)",'02_Common_Size_IS_BS'!$A$4:$A$15,0), MATCH(B$18,'02_Common_Size_IS_BS'!$B$2:$P$2,0)+MATCH($A21,'02_Common_Size_IS_BS'!$B$3:$D$3,0)-1)</f>
        <v>7.7038369304556362E-2</v>
      </c>
      <c r="C21" s="31" cm="1">
        <f t="array" ref="C21">INDEX('02_Common_Size_IS_BS'!$B$4:$P$15, MATCH("Operating Profit (EBIT)",'02_Common_Size_IS_BS'!$A$4:$A$15,0), MATCH(C$18,'02_Common_Size_IS_BS'!$B$2:$P$2,0)+MATCH($A21,'02_Common_Size_IS_BS'!$B$3:$D$3,0)-1)</f>
        <v>7.923311234545781E-2</v>
      </c>
      <c r="D21" s="31" cm="1">
        <f t="array" ref="D21">INDEX('02_Common_Size_IS_BS'!$B$4:$P$15, MATCH("Operating Profit (EBIT)",'02_Common_Size_IS_BS'!$A$4:$A$15,0), MATCH(D$18,'02_Common_Size_IS_BS'!$B$2:$P$2,0)+MATCH($A21,'02_Common_Size_IS_BS'!$B$3:$D$3,0)-1)</f>
        <v>7.0050017996549627E-2</v>
      </c>
      <c r="E21" s="31" cm="1">
        <f t="array" ref="E21">INDEX('02_Common_Size_IS_BS'!$B$4:$P$15, MATCH("Operating Profit (EBIT)",'02_Common_Size_IS_BS'!$A$4:$A$15,0), MATCH(E$18,'02_Common_Size_IS_BS'!$B$2:$P$2,0)+MATCH($A21,'02_Common_Size_IS_BS'!$B$3:$D$3,0)-1)</f>
        <v>5.8708294317677788E-2</v>
      </c>
      <c r="F21" s="31" cm="1">
        <f t="array" ref="F21">INDEX('02_Common_Size_IS_BS'!$B$4:$P$15, MATCH("Operating Profit (EBIT)",'02_Common_Size_IS_BS'!$A$4:$A$15,0), MATCH(F$18,'02_Common_Size_IS_BS'!$B$2:$P$2,0)+MATCH($A21,'02_Common_Size_IS_BS'!$B$3:$D$3,0)-1)</f>
        <v>2.7550922143560527E-2</v>
      </c>
    </row>
    <row r="26" spans="1:6" x14ac:dyDescent="0.2">
      <c r="A26" s="29" t="s">
        <v>194</v>
      </c>
      <c r="B26" s="28">
        <v>2021</v>
      </c>
      <c r="C26" s="28">
        <v>2022</v>
      </c>
      <c r="D26" s="28">
        <v>2023</v>
      </c>
      <c r="E26" s="28">
        <v>2024</v>
      </c>
      <c r="F26" s="28">
        <v>2025</v>
      </c>
    </row>
    <row r="27" spans="1:6" x14ac:dyDescent="0.2">
      <c r="A27" s="1" t="s">
        <v>150</v>
      </c>
      <c r="B27" s="31" cm="1">
        <f t="array" ref="B27">INDEX('02_Common_Size_IS_BS'!$B$4:$P$15, MATCH("Profit Before Tax (EBT)",'02_Common_Size_IS_BS'!$A$4:$A$15,0), MATCH(B$26,'02_Common_Size_IS_BS'!$B$2:$P$2,0)+MATCH($A27,'02_Common_Size_IS_BS'!$B$3:$D$3,0)-1)</f>
        <v>6.7720217789124099E-2</v>
      </c>
      <c r="C27" s="31" cm="1">
        <f t="array" ref="C27">INDEX('02_Common_Size_IS_BS'!$B$4:$P$15, MATCH("Profit Before Tax (EBT)",'02_Common_Size_IS_BS'!$A$4:$A$15,0), MATCH(C$26,'02_Common_Size_IS_BS'!$B$2:$P$2,0)+MATCH($A27,'02_Common_Size_IS_BS'!$B$3:$D$3,0)-1)</f>
        <v>8.0196747194024712E-2</v>
      </c>
      <c r="D27" s="31" cm="1">
        <f t="array" ref="D27">INDEX('02_Common_Size_IS_BS'!$B$4:$P$15, MATCH("Profit Before Tax (EBT)",'02_Common_Size_IS_BS'!$A$4:$A$15,0), MATCH(D$26,'02_Common_Size_IS_BS'!$B$2:$P$2,0)+MATCH($A27,'02_Common_Size_IS_BS'!$B$3:$D$3,0)-1)</f>
        <v>5.0531175260025582E-2</v>
      </c>
      <c r="E27" s="31" cm="1">
        <f t="array" ref="E27">INDEX('02_Common_Size_IS_BS'!$B$4:$P$15, MATCH("Profit Before Tax (EBT)",'02_Common_Size_IS_BS'!$A$4:$A$15,0), MATCH(E$26,'02_Common_Size_IS_BS'!$B$2:$P$2,0)+MATCH($A27,'02_Common_Size_IS_BS'!$B$3:$D$3,0)-1)</f>
        <v>3.8996553263005974E-2</v>
      </c>
      <c r="F27" s="31" cm="1">
        <f t="array" ref="F27">INDEX('02_Common_Size_IS_BS'!$B$4:$P$15, MATCH("Profit Before Tax (EBT)",'02_Common_Size_IS_BS'!$A$4:$A$15,0), MATCH(F$26,'02_Common_Size_IS_BS'!$B$2:$P$2,0)+MATCH($A27,'02_Common_Size_IS_BS'!$B$3:$D$3,0)-1)</f>
        <v>4.2801477658013259E-2</v>
      </c>
    </row>
    <row r="28" spans="1:6" x14ac:dyDescent="0.2">
      <c r="A28" s="1" t="s">
        <v>151</v>
      </c>
      <c r="B28" s="31" cm="1">
        <f t="array" ref="B28">INDEX('02_Common_Size_IS_BS'!$B$4:$P$15, MATCH("Profit Before Tax (EBT)",'02_Common_Size_IS_BS'!$A$4:$A$15,0), MATCH(B$26,'02_Common_Size_IS_BS'!$B$2:$P$2,0)+MATCH($A28,'02_Common_Size_IS_BS'!$B$3:$D$3,0)-1)</f>
        <v>0.11808683052885513</v>
      </c>
      <c r="C28" s="31" cm="1">
        <f t="array" ref="C28">INDEX('02_Common_Size_IS_BS'!$B$4:$P$15, MATCH("Profit Before Tax (EBT)",'02_Common_Size_IS_BS'!$A$4:$A$15,0), MATCH(C$26,'02_Common_Size_IS_BS'!$B$2:$P$2,0)+MATCH($A28,'02_Common_Size_IS_BS'!$B$3:$D$3,0)-1)</f>
        <v>0.13534466093842698</v>
      </c>
      <c r="D28" s="31" cm="1">
        <f t="array" ref="D28">INDEX('02_Common_Size_IS_BS'!$B$4:$P$15, MATCH("Profit Before Tax (EBT)",'02_Common_Size_IS_BS'!$A$4:$A$15,0), MATCH(D$26,'02_Common_Size_IS_BS'!$B$2:$P$2,0)+MATCH($A28,'02_Common_Size_IS_BS'!$B$3:$D$3,0)-1)</f>
        <v>0.13108120455821118</v>
      </c>
      <c r="E28" s="31" cm="1">
        <f t="array" ref="E28">INDEX('02_Common_Size_IS_BS'!$B$4:$P$15, MATCH("Profit Before Tax (EBT)",'02_Common_Size_IS_BS'!$A$4:$A$15,0), MATCH(E$26,'02_Common_Size_IS_BS'!$B$2:$P$2,0)+MATCH($A28,'02_Common_Size_IS_BS'!$B$3:$D$3,0)-1)</f>
        <v>9.7167465692267543E-2</v>
      </c>
      <c r="F28" s="31" cm="1">
        <f t="array" ref="F28">INDEX('02_Common_Size_IS_BS'!$B$4:$P$15, MATCH("Profit Before Tax (EBT)",'02_Common_Size_IS_BS'!$A$4:$A$15,0), MATCH(F$26,'02_Common_Size_IS_BS'!$B$2:$P$2,0)+MATCH($A28,'02_Common_Size_IS_BS'!$B$3:$D$3,0)-1)</f>
        <v>4.7529006005415465E-2</v>
      </c>
    </row>
    <row r="29" spans="1:6" x14ac:dyDescent="0.2">
      <c r="A29" s="1" t="s">
        <v>152</v>
      </c>
      <c r="B29" s="31" cm="1">
        <f t="array" ref="B29">INDEX('02_Common_Size_IS_BS'!$B$4:$P$15, MATCH("Profit Before Tax (EBT)",'02_Common_Size_IS_BS'!$A$4:$A$15,0), MATCH(B$26,'02_Common_Size_IS_BS'!$B$2:$P$2,0)+MATCH($A29,'02_Common_Size_IS_BS'!$B$3:$D$3,0)-1)</f>
        <v>8.0435651478816941E-2</v>
      </c>
      <c r="C29" s="31" cm="1">
        <f t="array" ref="C29">INDEX('02_Common_Size_IS_BS'!$B$4:$P$15, MATCH("Profit Before Tax (EBT)",'02_Common_Size_IS_BS'!$A$4:$A$15,0), MATCH(C$26,'02_Common_Size_IS_BS'!$B$2:$P$2,0)+MATCH($A29,'02_Common_Size_IS_BS'!$B$3:$D$3,0)-1)</f>
        <v>7.9093352445798237E-2</v>
      </c>
      <c r="D29" s="31" cm="1">
        <f t="array" ref="D29">INDEX('02_Common_Size_IS_BS'!$B$4:$P$15, MATCH("Profit Before Tax (EBT)",'02_Common_Size_IS_BS'!$A$4:$A$15,0), MATCH(D$26,'02_Common_Size_IS_BS'!$B$2:$P$2,0)+MATCH($A29,'02_Common_Size_IS_BS'!$B$3:$D$3,0)-1)</f>
        <v>7.1967581387844259E-2</v>
      </c>
      <c r="E29" s="31" cm="1">
        <f t="array" ref="E29">INDEX('02_Common_Size_IS_BS'!$B$4:$P$15, MATCH("Profit Before Tax (EBT)",'02_Common_Size_IS_BS'!$A$4:$A$15,0), MATCH(E$26,'02_Common_Size_IS_BS'!$B$2:$P$2,0)+MATCH($A29,'02_Common_Size_IS_BS'!$B$3:$D$3,0)-1)</f>
        <v>5.1765561086195851E-2</v>
      </c>
      <c r="F29" s="31" cm="1">
        <f t="array" ref="F29">INDEX('02_Common_Size_IS_BS'!$B$4:$P$15, MATCH("Profit Before Tax (EBT)",'02_Common_Size_IS_BS'!$A$4:$A$15,0), MATCH(F$26,'02_Common_Size_IS_BS'!$B$2:$P$2,0)+MATCH($A29,'02_Common_Size_IS_BS'!$B$3:$D$3,0)-1)</f>
        <v>2.8914644640011433E-2</v>
      </c>
    </row>
    <row r="34" spans="1:6" x14ac:dyDescent="0.2">
      <c r="A34" s="29" t="s">
        <v>59</v>
      </c>
      <c r="B34" s="28">
        <v>2021</v>
      </c>
      <c r="C34" s="28">
        <v>2022</v>
      </c>
      <c r="D34" s="28">
        <v>2023</v>
      </c>
      <c r="E34" s="28">
        <v>2024</v>
      </c>
      <c r="F34" s="28">
        <v>2025</v>
      </c>
    </row>
    <row r="35" spans="1:6" x14ac:dyDescent="0.2">
      <c r="A35" s="1" t="s">
        <v>150</v>
      </c>
      <c r="B35" s="31" cm="1">
        <f t="array" ref="B35">INDEX('02_Common_Size_IS_BS'!$B$21:$P$41, MATCH("Total Current Assets",'02_Common_Size_IS_BS'!$A$21:$A$41,0), MATCH(B$34,'02_Common_Size_IS_BS'!$B$19:$P$19,0)+MATCH($A35,'02_Common_Size_IS_BS'!$B$20:$D$20,0)-1)</f>
        <v>0.69602040027818557</v>
      </c>
      <c r="C35" s="31" cm="1">
        <f t="array" ref="C35">INDEX('02_Common_Size_IS_BS'!$B$21:$P$41, MATCH("Total Current Assets",'02_Common_Size_IS_BS'!$A$21:$A$41,0), MATCH(C$34,'02_Common_Size_IS_BS'!$B$19:$P$19,0)+MATCH($A35,'02_Common_Size_IS_BS'!$B$20:$D$20,0)-1)</f>
        <v>0.61716706116855613</v>
      </c>
      <c r="D35" s="31" cm="1">
        <f t="array" ref="D35">INDEX('02_Common_Size_IS_BS'!$B$21:$P$41, MATCH("Total Current Assets",'02_Common_Size_IS_BS'!$A$21:$A$41,0), MATCH(D$34,'02_Common_Size_IS_BS'!$B$19:$P$19,0)+MATCH($A35,'02_Common_Size_IS_BS'!$B$20:$D$20,0)-1)</f>
        <v>0.56354682708185888</v>
      </c>
      <c r="E35" s="31" cm="1">
        <f t="array" ref="E35">INDEX('02_Common_Size_IS_BS'!$B$21:$P$41, MATCH("Total Current Assets",'02_Common_Size_IS_BS'!$A$21:$A$41,0), MATCH(E$34,'02_Common_Size_IS_BS'!$B$19:$P$19,0)+MATCH($A35,'02_Common_Size_IS_BS'!$B$20:$D$20,0)-1)</f>
        <v>0.54402884182063993</v>
      </c>
      <c r="F35" s="31" cm="1">
        <f t="array" ref="F35">INDEX('02_Common_Size_IS_BS'!$B$21:$P$41, MATCH("Total Current Assets",'02_Common_Size_IS_BS'!$A$21:$A$41,0), MATCH(F$34,'02_Common_Size_IS_BS'!$B$19:$P$19,0)+MATCH($A35,'02_Common_Size_IS_BS'!$B$20:$D$20,0)-1)</f>
        <v>0.56205541532813219</v>
      </c>
    </row>
    <row r="36" spans="1:6" x14ac:dyDescent="0.2">
      <c r="A36" s="1" t="s">
        <v>151</v>
      </c>
      <c r="B36" s="31" cm="1">
        <f t="array" ref="B36">INDEX('02_Common_Size_IS_BS'!$B$21:$P$41, MATCH("Total Current Assets",'02_Common_Size_IS_BS'!$A$21:$A$41,0), MATCH(B$34,'02_Common_Size_IS_BS'!$B$19:$P$19,0)+MATCH($A36,'02_Common_Size_IS_BS'!$B$20:$D$20,0)-1)</f>
        <v>0.39613825909918371</v>
      </c>
      <c r="C36" s="31" cm="1">
        <f t="array" ref="C36">INDEX('02_Common_Size_IS_BS'!$B$21:$P$41, MATCH("Total Current Assets",'02_Common_Size_IS_BS'!$A$21:$A$41,0), MATCH(C$34,'02_Common_Size_IS_BS'!$B$19:$P$19,0)+MATCH($A36,'02_Common_Size_IS_BS'!$B$20:$D$20,0)-1)</f>
        <v>0.39564640501509529</v>
      </c>
      <c r="D36" s="31" cm="1">
        <f t="array" ref="D36">INDEX('02_Common_Size_IS_BS'!$B$21:$P$41, MATCH("Total Current Assets",'02_Common_Size_IS_BS'!$A$21:$A$41,0), MATCH(D$34,'02_Common_Size_IS_BS'!$B$19:$P$19,0)+MATCH($A36,'02_Common_Size_IS_BS'!$B$20:$D$20,0)-1)</f>
        <v>0.39552584954870695</v>
      </c>
      <c r="E36" s="31" cm="1">
        <f t="array" ref="E36">INDEX('02_Common_Size_IS_BS'!$B$21:$P$41, MATCH("Total Current Assets",'02_Common_Size_IS_BS'!$A$21:$A$41,0), MATCH(E$34,'02_Common_Size_IS_BS'!$B$19:$P$19,0)+MATCH($A36,'02_Common_Size_IS_BS'!$B$20:$D$20,0)-1)</f>
        <v>0.38401192407833667</v>
      </c>
      <c r="F36" s="31" cm="1">
        <f t="array" ref="F36">INDEX('02_Common_Size_IS_BS'!$B$21:$P$41, MATCH("Total Current Assets",'02_Common_Size_IS_BS'!$A$21:$A$41,0), MATCH(F$34,'02_Common_Size_IS_BS'!$B$19:$P$19,0)+MATCH($A36,'02_Common_Size_IS_BS'!$B$20:$D$20,0)-1)</f>
        <v>0.39978705581173229</v>
      </c>
    </row>
    <row r="37" spans="1:6" x14ac:dyDescent="0.2">
      <c r="A37" s="1" t="s">
        <v>152</v>
      </c>
      <c r="B37" s="31" cm="1">
        <f t="array" ref="B37">INDEX('02_Common_Size_IS_BS'!$B$21:$P$41, MATCH("Total Current Assets",'02_Common_Size_IS_BS'!$A$21:$A$41,0), MATCH(B$34,'02_Common_Size_IS_BS'!$B$19:$P$19,0)+MATCH($A37,'02_Common_Size_IS_BS'!$B$20:$D$20,0)-1)</f>
        <v>0.37900792457184801</v>
      </c>
      <c r="C37" s="31" cm="1">
        <f t="array" ref="C37">INDEX('02_Common_Size_IS_BS'!$B$21:$P$41, MATCH("Total Current Assets",'02_Common_Size_IS_BS'!$A$21:$A$41,0), MATCH(C$34,'02_Common_Size_IS_BS'!$B$19:$P$19,0)+MATCH($A37,'02_Common_Size_IS_BS'!$B$20:$D$20,0)-1)</f>
        <v>0.39743587470501568</v>
      </c>
      <c r="D37" s="31" cm="1">
        <f t="array" ref="D37">INDEX('02_Common_Size_IS_BS'!$B$21:$P$41, MATCH("Total Current Assets",'02_Common_Size_IS_BS'!$A$21:$A$41,0), MATCH(D$34,'02_Common_Size_IS_BS'!$B$19:$P$19,0)+MATCH($A37,'02_Common_Size_IS_BS'!$B$20:$D$20,0)-1)</f>
        <v>0.3991817942559025</v>
      </c>
      <c r="E37" s="31" cm="1">
        <f t="array" ref="E37">INDEX('02_Common_Size_IS_BS'!$B$21:$P$41, MATCH("Total Current Assets",'02_Common_Size_IS_BS'!$A$21:$A$41,0), MATCH(E$34,'02_Common_Size_IS_BS'!$B$19:$P$19,0)+MATCH($A37,'02_Common_Size_IS_BS'!$B$20:$D$20,0)-1)</f>
        <v>0.38746889343582369</v>
      </c>
      <c r="F37" s="31" cm="1">
        <f t="array" ref="F37">INDEX('02_Common_Size_IS_BS'!$B$21:$P$41, MATCH("Total Current Assets",'02_Common_Size_IS_BS'!$A$21:$A$41,0), MATCH(F$34,'02_Common_Size_IS_BS'!$B$19:$P$19,0)+MATCH($A37,'02_Common_Size_IS_BS'!$B$20:$D$20,0)-1)</f>
        <v>0.38460464228579588</v>
      </c>
    </row>
    <row r="42" spans="1:6" x14ac:dyDescent="0.2">
      <c r="A42" s="29" t="s">
        <v>53</v>
      </c>
      <c r="B42" s="28">
        <v>2021</v>
      </c>
      <c r="C42" s="28">
        <v>2022</v>
      </c>
      <c r="D42" s="28">
        <v>2023</v>
      </c>
      <c r="E42" s="28">
        <v>2024</v>
      </c>
      <c r="F42" s="28">
        <v>2025</v>
      </c>
    </row>
    <row r="43" spans="1:6" x14ac:dyDescent="0.2">
      <c r="A43" s="1" t="s">
        <v>150</v>
      </c>
      <c r="B43" s="31" cm="1">
        <f t="array" ref="B43">INDEX('02_Common_Size_IS_BS'!$B$21:$P$41, MATCH("Total Equity",'02_Common_Size_IS_BS'!$A$21:$A$41,0), MATCH(B$42,'02_Common_Size_IS_BS'!$B$19:$P$19,0)+MATCH($A43,'02_Common_Size_IS_BS'!$B$20:$D$20,0)-1)</f>
        <v>0.29251217062050844</v>
      </c>
      <c r="C43" s="31" cm="1">
        <f t="array" ref="C43">INDEX('02_Common_Size_IS_BS'!$B$21:$P$41, MATCH("Total Equity",'02_Common_Size_IS_BS'!$A$21:$A$41,0), MATCH(C$42,'02_Common_Size_IS_BS'!$B$19:$P$19,0)+MATCH($A43,'02_Common_Size_IS_BS'!$B$20:$D$20,0)-1)</f>
        <v>0.27986102459753887</v>
      </c>
      <c r="D43" s="31" cm="1">
        <f t="array" ref="D43">INDEX('02_Common_Size_IS_BS'!$B$21:$P$41, MATCH("Total Equity",'02_Common_Size_IS_BS'!$A$21:$A$41,0), MATCH(D$42,'02_Common_Size_IS_BS'!$B$19:$P$19,0)+MATCH($A43,'02_Common_Size_IS_BS'!$B$20:$D$20,0)-1)</f>
        <v>0.26439018636470868</v>
      </c>
      <c r="E43" s="31" cm="1">
        <f t="array" ref="E43">INDEX('02_Common_Size_IS_BS'!$B$21:$P$41, MATCH("Total Equity",'02_Common_Size_IS_BS'!$A$21:$A$41,0), MATCH(E$42,'02_Common_Size_IS_BS'!$B$19:$P$19,0)+MATCH($A43,'02_Common_Size_IS_BS'!$B$20:$D$20,0)-1)</f>
        <v>0.25048820790145709</v>
      </c>
      <c r="F43" s="31" cm="1">
        <f t="array" ref="F43">INDEX('02_Common_Size_IS_BS'!$B$21:$P$41, MATCH("Total Equity",'02_Common_Size_IS_BS'!$A$21:$A$41,0), MATCH(F$42,'02_Common_Size_IS_BS'!$B$19:$P$19,0)+MATCH($A43,'02_Common_Size_IS_BS'!$B$20:$D$20,0)-1)</f>
        <v>0.24024782010096374</v>
      </c>
    </row>
    <row r="44" spans="1:6" x14ac:dyDescent="0.2">
      <c r="A44" s="1" t="s">
        <v>151</v>
      </c>
      <c r="B44" s="31" cm="1">
        <f t="array" ref="B44">INDEX('02_Common_Size_IS_BS'!$B$21:$P$41, MATCH("Total Equity",'02_Common_Size_IS_BS'!$A$21:$A$41,0), MATCH(B$42,'02_Common_Size_IS_BS'!$B$19:$P$19,0)+MATCH($A44,'02_Common_Size_IS_BS'!$B$20:$D$20,0)-1)</f>
        <v>0.28159457493524637</v>
      </c>
      <c r="C44" s="31" cm="1">
        <f t="array" ref="C44">INDEX('02_Common_Size_IS_BS'!$B$21:$P$41, MATCH("Total Equity",'02_Common_Size_IS_BS'!$A$21:$A$41,0), MATCH(C$42,'02_Common_Size_IS_BS'!$B$19:$P$19,0)+MATCH($A44,'02_Common_Size_IS_BS'!$B$20:$D$20,0)-1)</f>
        <v>0.33282695229121395</v>
      </c>
      <c r="D44" s="31" cm="1">
        <f t="array" ref="D44">INDEX('02_Common_Size_IS_BS'!$B$21:$P$41, MATCH("Total Equity",'02_Common_Size_IS_BS'!$A$21:$A$41,0), MATCH(D$42,'02_Common_Size_IS_BS'!$B$19:$P$19,0)+MATCH($A44,'02_Common_Size_IS_BS'!$B$20:$D$20,0)-1)</f>
        <v>0.35288302879607031</v>
      </c>
      <c r="E44" s="31" cm="1">
        <f t="array" ref="E44">INDEX('02_Common_Size_IS_BS'!$B$21:$P$41, MATCH("Total Equity",'02_Common_Size_IS_BS'!$A$21:$A$41,0), MATCH(E$42,'02_Common_Size_IS_BS'!$B$19:$P$19,0)+MATCH($A44,'02_Common_Size_IS_BS'!$B$20:$D$20,0)-1)</f>
        <v>0.35330742236142032</v>
      </c>
      <c r="F44" s="31" cm="1">
        <f t="array" ref="F44">INDEX('02_Common_Size_IS_BS'!$B$21:$P$41, MATCH("Total Equity",'02_Common_Size_IS_BS'!$A$21:$A$41,0), MATCH(F$42,'02_Common_Size_IS_BS'!$B$19:$P$19,0)+MATCH($A44,'02_Common_Size_IS_BS'!$B$20:$D$20,0)-1)</f>
        <v>0.36889449085201159</v>
      </c>
    </row>
    <row r="45" spans="1:6" x14ac:dyDescent="0.2">
      <c r="A45" s="1" t="s">
        <v>152</v>
      </c>
      <c r="B45" s="31" cm="1">
        <f t="array" ref="B45">INDEX('02_Common_Size_IS_BS'!$B$21:$P$41, MATCH("Total Equity",'02_Common_Size_IS_BS'!$A$21:$A$41,0), MATCH(B$42,'02_Common_Size_IS_BS'!$B$19:$P$19,0)+MATCH($A45,'02_Common_Size_IS_BS'!$B$20:$D$20,0)-1)</f>
        <v>0.2764879145076985</v>
      </c>
      <c r="C45" s="31" cm="1">
        <f t="array" ref="C45">INDEX('02_Common_Size_IS_BS'!$B$21:$P$41, MATCH("Total Equity",'02_Common_Size_IS_BS'!$A$21:$A$41,0), MATCH(C$42,'02_Common_Size_IS_BS'!$B$19:$P$19,0)+MATCH($A45,'02_Common_Size_IS_BS'!$B$20:$D$20,0)-1)</f>
        <v>0.31617710939286858</v>
      </c>
      <c r="D45" s="31" cm="1">
        <f t="array" ref="D45">INDEX('02_Common_Size_IS_BS'!$B$21:$P$41, MATCH("Total Equity",'02_Common_Size_IS_BS'!$A$21:$A$41,0), MATCH(D$42,'02_Common_Size_IS_BS'!$B$19:$P$19,0)+MATCH($A45,'02_Common_Size_IS_BS'!$B$20:$D$20,0)-1)</f>
        <v>0.31634179412264424</v>
      </c>
      <c r="E45" s="31" cm="1">
        <f t="array" ref="E45">INDEX('02_Common_Size_IS_BS'!$B$21:$P$41, MATCH("Total Equity",'02_Common_Size_IS_BS'!$A$21:$A$41,0), MATCH(E$42,'02_Common_Size_IS_BS'!$B$19:$P$19,0)+MATCH($A45,'02_Common_Size_IS_BS'!$B$20:$D$20,0)-1)</f>
        <v>0.31083811946500661</v>
      </c>
      <c r="F45" s="31" cm="1">
        <f t="array" ref="F45">INDEX('02_Common_Size_IS_BS'!$B$21:$P$41, MATCH("Total Equity",'02_Common_Size_IS_BS'!$A$21:$A$41,0), MATCH(F$42,'02_Common_Size_IS_BS'!$B$19:$P$19,0)+MATCH($A45,'02_Common_Size_IS_BS'!$B$20:$D$20,0)-1)</f>
        <v>0.31507276555665381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D854-980D-4D79-A217-7FC18022DA83}">
  <sheetPr>
    <tabColor rgb="FF002060"/>
  </sheetPr>
  <dimension ref="A2:P25"/>
  <sheetViews>
    <sheetView workbookViewId="0">
      <selection activeCell="B12" sqref="B12"/>
    </sheetView>
  </sheetViews>
  <sheetFormatPr defaultRowHeight="12.75" x14ac:dyDescent="0.2"/>
  <cols>
    <col min="1" max="1" width="15" style="1" bestFit="1" customWidth="1"/>
    <col min="2" max="2" width="7" style="1" customWidth="1"/>
    <col min="3" max="3" width="9.7109375" style="1" bestFit="1" customWidth="1"/>
    <col min="4" max="4" width="12" style="1" bestFit="1" customWidth="1"/>
    <col min="5" max="5" width="6.28515625" style="1" bestFit="1" customWidth="1"/>
    <col min="6" max="6" width="9.7109375" style="1" bestFit="1" customWidth="1"/>
    <col min="7" max="7" width="12" style="1" bestFit="1" customWidth="1"/>
    <col min="8" max="8" width="6.28515625" style="1" bestFit="1" customWidth="1"/>
    <col min="9" max="9" width="9.7109375" style="1" bestFit="1" customWidth="1"/>
    <col min="10" max="10" width="12" style="1" bestFit="1" customWidth="1"/>
    <col min="11" max="11" width="7.28515625" style="1" bestFit="1" customWidth="1"/>
    <col min="12" max="12" width="9.7109375" style="1" bestFit="1" customWidth="1"/>
    <col min="13" max="13" width="12" style="1" bestFit="1" customWidth="1"/>
    <col min="14" max="14" width="6.28515625" style="1" bestFit="1" customWidth="1"/>
    <col min="15" max="15" width="9.7109375" style="1" bestFit="1" customWidth="1"/>
    <col min="16" max="16" width="12" style="1" bestFit="1" customWidth="1"/>
    <col min="17" max="16384" width="9.140625" style="1"/>
  </cols>
  <sheetData>
    <row r="2" spans="1:16" x14ac:dyDescent="0.2">
      <c r="A2" s="5" t="s">
        <v>153</v>
      </c>
      <c r="B2" s="44">
        <v>2025</v>
      </c>
      <c r="C2" s="44"/>
      <c r="D2" s="44"/>
      <c r="E2" s="44">
        <v>2024</v>
      </c>
      <c r="F2" s="44"/>
      <c r="G2" s="44"/>
      <c r="H2" s="44">
        <v>2023</v>
      </c>
      <c r="I2" s="44"/>
      <c r="J2" s="44"/>
      <c r="K2" s="44">
        <v>2022</v>
      </c>
      <c r="L2" s="44"/>
      <c r="M2" s="44"/>
      <c r="N2" s="44">
        <v>2021</v>
      </c>
      <c r="O2" s="44"/>
      <c r="P2" s="44"/>
    </row>
    <row r="3" spans="1:16" x14ac:dyDescent="0.2">
      <c r="A3" s="5" t="s">
        <v>179</v>
      </c>
      <c r="B3" s="13" t="s">
        <v>150</v>
      </c>
      <c r="C3" s="14" t="s">
        <v>151</v>
      </c>
      <c r="D3" s="14" t="s">
        <v>152</v>
      </c>
      <c r="E3" s="13" t="s">
        <v>150</v>
      </c>
      <c r="F3" s="14" t="s">
        <v>151</v>
      </c>
      <c r="G3" s="13" t="s">
        <v>152</v>
      </c>
      <c r="H3" s="14" t="s">
        <v>150</v>
      </c>
      <c r="I3" s="13" t="s">
        <v>151</v>
      </c>
      <c r="J3" s="13" t="s">
        <v>152</v>
      </c>
      <c r="K3" s="14" t="s">
        <v>150</v>
      </c>
      <c r="L3" s="13" t="s">
        <v>151</v>
      </c>
      <c r="M3" s="13" t="s">
        <v>152</v>
      </c>
      <c r="N3" s="14" t="s">
        <v>150</v>
      </c>
      <c r="O3" s="14" t="s">
        <v>151</v>
      </c>
      <c r="P3" s="14" t="s">
        <v>152</v>
      </c>
    </row>
    <row r="4" spans="1:16" x14ac:dyDescent="0.2">
      <c r="A4" s="2" t="s">
        <v>180</v>
      </c>
    </row>
    <row r="5" spans="1:16" x14ac:dyDescent="0.2">
      <c r="A5" s="1" t="s">
        <v>181</v>
      </c>
      <c r="B5" s="31" cm="1">
        <f t="array" ref="B5">INDEX('02_Common_Size_IS_BS'!$B$4:$P$15,MATCH("Net profit",'02_Common_Size_IS_BS'!$A$4:$A$15,0),MATCH(B$2,'02_Common_Size_IS_BS'!$B$2:$P$2,0)+MATCH(B$3,'02_Common_Size_IS_BS'!$B$3:$D$3,0)-1)</f>
        <v>3.9744952178533473E-2</v>
      </c>
      <c r="C5" s="31" cm="1">
        <f t="array" ref="C5">INDEX('02_Common_Size_IS_BS'!$B$4:$P$15,MATCH("Net profit",'02_Common_Size_IS_BS'!$A$4:$A$15,0),MATCH(B$2,'02_Common_Size_IS_BS'!$B$2:$P$2,0)+MATCH(C$3,'02_Common_Size_IS_BS'!$B$3:$D$3,0)-1)</f>
        <v>4.0320994750934092E-2</v>
      </c>
      <c r="D5" s="31" cm="1">
        <f t="array" ref="D5">INDEX('02_Common_Size_IS_BS'!$B$4:$P$15,MATCH("Net profit",'02_Common_Size_IS_BS'!$A$4:$A$15,0),MATCH(B$2,'02_Common_Size_IS_BS'!$B$2:$P$2,0)+MATCH(D$3,'02_Common_Size_IS_BS'!$B$3:$D$3,0)-1)</f>
        <v>2.1449894847365591E-2</v>
      </c>
      <c r="E5" s="31" cm="1">
        <f t="array" ref="E5">INDEX('02_Common_Size_IS_BS'!$B$4:$P$15,MATCH("Net profit",'02_Common_Size_IS_BS'!$A$4:$A$15,0),MATCH($E$2,'02_Common_Size_IS_BS'!$B$2:$P$2,0)+MATCH(E$3,'02_Common_Size_IS_BS'!$B$3:$D$3,0)-1)</f>
        <v>3.3460884757446567E-2</v>
      </c>
      <c r="F5" s="31" cm="1">
        <f t="array" ref="F5">INDEX('02_Common_Size_IS_BS'!$B$4:$P$15,MATCH("Net profit",'02_Common_Size_IS_BS'!$A$4:$A$15,0),MATCH($E$2,'02_Common_Size_IS_BS'!$B$2:$P$2,0)+MATCH(F$3,'02_Common_Size_IS_BS'!$B$3:$D$3,0)-1)</f>
        <v>7.1493330769125105E-2</v>
      </c>
      <c r="G5" s="31" cm="1">
        <f t="array" ref="G5">INDEX('02_Common_Size_IS_BS'!$B$4:$P$15,MATCH("Net profit",'02_Common_Size_IS_BS'!$A$4:$A$15,0),MATCH($E$2,'02_Common_Size_IS_BS'!$B$2:$P$2,0)+MATCH(G$3,'02_Common_Size_IS_BS'!$B$3:$D$3,0)-1)</f>
        <v>3.8178872406485632E-2</v>
      </c>
      <c r="H5" s="31" cm="1">
        <f t="array" ref="H5">INDEX('02_Common_Size_IS_BS'!$B$4:$P$15,MATCH("Net profit",'02_Common_Size_IS_BS'!$A$4:$A$15,0),MATCH($H$2,'02_Common_Size_IS_BS'!$B$2:$P$2,0)+MATCH(H$3,'02_Common_Size_IS_BS'!$B$3:$D$3,0)-1)</f>
        <v>4.0473144594619648E-2</v>
      </c>
      <c r="I5" s="31" cm="1">
        <f t="array" ref="I5">INDEX('02_Common_Size_IS_BS'!$B$4:$P$15,MATCH("Net profit",'02_Common_Size_IS_BS'!$A$4:$A$15,0),MATCH($H$2,'02_Common_Size_IS_BS'!$B$2:$P$2,0)+MATCH(I$3,'02_Common_Size_IS_BS'!$B$3:$D$3,0)-1)</f>
        <v>9.4838726520382721E-2</v>
      </c>
      <c r="J5" s="31" cm="1">
        <f t="array" ref="J5">INDEX('02_Common_Size_IS_BS'!$B$4:$P$15,MATCH("Net profit",'02_Common_Size_IS_BS'!$A$4:$A$15,0),MATCH($H$2,'02_Common_Size_IS_BS'!$B$2:$P$2,0)+MATCH(J$3,'02_Common_Size_IS_BS'!$B$3:$D$3,0)-1)</f>
        <v>5.5627955467848232E-2</v>
      </c>
      <c r="K5" s="31" cm="1">
        <f t="array" ref="K5">INDEX('02_Common_Size_IS_BS'!$B$4:$P$15,MATCH("Net profit",'02_Common_Size_IS_BS'!$A$4:$A$15,0),MATCH($K$2,'02_Common_Size_IS_BS'!$B$2:$P$2,0)+MATCH(K$3,'02_Common_Size_IS_BS'!$B$3:$D$3,0)-1)</f>
        <v>6.3871992874998729E-2</v>
      </c>
      <c r="L5" s="31" cm="1">
        <f t="array" ref="L5">INDEX('02_Common_Size_IS_BS'!$B$4:$P$15,MATCH("Net profit",'02_Common_Size_IS_BS'!$A$4:$A$15,0),MATCH($K$2,'02_Common_Size_IS_BS'!$B$2:$P$2,0)+MATCH(L$3,'02_Common_Size_IS_BS'!$B$3:$D$3,0)-1)</f>
        <v>9.8715478912389923E-2</v>
      </c>
      <c r="M5" s="31" cm="1">
        <f t="array" ref="M5">INDEX('02_Common_Size_IS_BS'!$B$4:$P$15,MATCH("Net profit",'02_Common_Size_IS_BS'!$A$4:$A$15,0),MATCH($K$2,'02_Common_Size_IS_BS'!$B$2:$P$2,0)+MATCH(M$3,'02_Common_Size_IS_BS'!$B$3:$D$3,0)-1)</f>
        <v>5.6814191005196205E-2</v>
      </c>
      <c r="N5" s="31" cm="1">
        <f t="array" ref="N5">INDEX('02_Common_Size_IS_BS'!$B$4:$P$15,MATCH("Net profit",'02_Common_Size_IS_BS'!$A$4:$A$15,0),MATCH($N$2,'02_Common_Size_IS_BS'!$B$2:$P$2,0)+MATCH(N$3,'02_Common_Size_IS_BS'!$B$3:$D$3,0)-1)</f>
        <v>5.5463931500350179E-2</v>
      </c>
      <c r="O5" s="31" cm="1">
        <f t="array" ref="O5">INDEX('02_Common_Size_IS_BS'!$B$4:$P$15,MATCH("Net profit",'02_Common_Size_IS_BS'!$A$4:$A$15,0),MATCH($N$2,'02_Common_Size_IS_BS'!$B$2:$P$2,0)+MATCH(O$3,'02_Common_Size_IS_BS'!$B$3:$D$3,0)-1)</f>
        <v>0.17473654335924954</v>
      </c>
      <c r="P5" s="31" cm="1">
        <f t="array" ref="P5">INDEX('02_Common_Size_IS_BS'!$B$4:$P$15,MATCH("Net profit",'02_Common_Size_IS_BS'!$A$4:$A$15,0),MATCH($N$2,'02_Common_Size_IS_BS'!$B$2:$P$2,0)+MATCH(P$3,'02_Common_Size_IS_BS'!$B$3:$D$3,0)-1)</f>
        <v>6.1658673061550762E-2</v>
      </c>
    </row>
    <row r="6" spans="1:16" x14ac:dyDescent="0.2">
      <c r="A6" s="1" t="s">
        <v>182</v>
      </c>
      <c r="B6" s="31" cm="1">
        <f t="array" ref="B6">INDEX('02_Common_Size_IS_BS'!$B$4:$P$15,MATCH("Operating Profit (EBIT)",'02_Common_Size_IS_BS'!$A$4:$A$15,0),MATCH($B$2,'02_Common_Size_IS_BS'!$B$2:$P$2,0)+MATCH(B$3,'02_Common_Size_IS_BS'!$B$3:$D$3,0)-1)</f>
        <v>-2.7630180658873541E-3</v>
      </c>
      <c r="C6" s="31" cm="1">
        <f t="array" ref="C6">INDEX('02_Common_Size_IS_BS'!$B$4:$P$15,MATCH("Operating Profit (EBIT)",'02_Common_Size_IS_BS'!$A$4:$A$15,0),MATCH($B$2,'02_Common_Size_IS_BS'!$B$2:$P$2,0)+MATCH(C$3,'02_Common_Size_IS_BS'!$B$3:$D$3,0)-1)</f>
        <v>3.4860150967371079E-2</v>
      </c>
      <c r="D6" s="31" cm="1">
        <f t="array" ref="D6">INDEX('02_Common_Size_IS_BS'!$B$4:$P$15,MATCH("Operating Profit (EBIT)",'02_Common_Size_IS_BS'!$A$4:$A$15,0),MATCH($B$2,'02_Common_Size_IS_BS'!$B$2:$P$2,0)+MATCH(D$3,'02_Common_Size_IS_BS'!$B$3:$D$3,0)-1)</f>
        <v>2.7550922143560527E-2</v>
      </c>
      <c r="E6" s="31" cm="1">
        <f t="array" ref="E6">INDEX('02_Common_Size_IS_BS'!$B$4:$P$15,MATCH("Operating Profit (EBIT)",'02_Common_Size_IS_BS'!$A$4:$A$15,0),MATCH($E$2,'02_Common_Size_IS_BS'!$B$2:$P$2,0)+MATCH(E$3,'02_Common_Size_IS_BS'!$B$3:$D$3,0)-1)</f>
        <v>5.3932413570458712E-3</v>
      </c>
      <c r="F6" s="31" cm="1">
        <f t="array" ref="F6">INDEX('02_Common_Size_IS_BS'!$B$4:$P$15,MATCH("Operating Profit (EBIT)",'02_Common_Size_IS_BS'!$A$4:$A$15,0),MATCH($E$2,'02_Common_Size_IS_BS'!$B$2:$P$2,0)+MATCH(F$3,'02_Common_Size_IS_BS'!$B$3:$D$3,0)-1)</f>
        <v>8.5841449510282011E-2</v>
      </c>
      <c r="G6" s="31" cm="1">
        <f t="array" ref="G6">INDEX('02_Common_Size_IS_BS'!$B$4:$P$15,MATCH("Operating Profit (EBIT)",'02_Common_Size_IS_BS'!$A$4:$A$15,0),MATCH($E$2,'02_Common_Size_IS_BS'!$B$2:$P$2,0)+MATCH(G$3,'02_Common_Size_IS_BS'!$B$3:$D$3,0)-1)</f>
        <v>5.8708294317677788E-2</v>
      </c>
      <c r="H6" s="31" cm="1">
        <f t="array" ref="H6">INDEX('02_Common_Size_IS_BS'!$B$4:$P$15,MATCH("Operating Profit (EBIT)",'02_Common_Size_IS_BS'!$A$4:$A$15,0),MATCH($H$2,'02_Common_Size_IS_BS'!$B$2:$P$2,0)+MATCH(H$3,'02_Common_Size_IS_BS'!$B$3:$D$3,0)-1)</f>
        <v>1.8011754454270723E-2</v>
      </c>
      <c r="I6" s="31" cm="1">
        <f t="array" ref="I6">INDEX('02_Common_Size_IS_BS'!$B$4:$P$15,MATCH("Operating Profit (EBIT)",'02_Common_Size_IS_BS'!$A$4:$A$15,0),MATCH($H$2,'02_Common_Size_IS_BS'!$B$2:$P$2,0)+MATCH(I$3,'02_Common_Size_IS_BS'!$B$3:$D$3,0)-1)</f>
        <v>0.11371379341852784</v>
      </c>
      <c r="J6" s="31" cm="1">
        <f t="array" ref="J6">INDEX('02_Common_Size_IS_BS'!$B$4:$P$15,MATCH("Operating Profit (EBIT)",'02_Common_Size_IS_BS'!$A$4:$A$15,0),MATCH($H$2,'02_Common_Size_IS_BS'!$B$2:$P$2,0)+MATCH(J$3,'02_Common_Size_IS_BS'!$B$3:$D$3,0)-1)</f>
        <v>7.0050017996549627E-2</v>
      </c>
      <c r="K6" s="31" cm="1">
        <f t="array" ref="K6">INDEX('02_Common_Size_IS_BS'!$B$4:$P$15,MATCH("Operating Profit (EBIT)",'02_Common_Size_IS_BS'!$A$4:$A$15,0),MATCH($K$2,'02_Common_Size_IS_BS'!$B$2:$P$2,0)+MATCH(K$3,'02_Common_Size_IS_BS'!$B$3:$D$3,0)-1)</f>
        <v>2.3581325209752344E-2</v>
      </c>
      <c r="L6" s="31" cm="1">
        <f t="array" ref="L6">INDEX('02_Common_Size_IS_BS'!$B$4:$P$15,MATCH("Operating Profit (EBIT)",'02_Common_Size_IS_BS'!$A$4:$A$15,0),MATCH($K$2,'02_Common_Size_IS_BS'!$B$2:$P$2,0)+MATCH(L$3,'02_Common_Size_IS_BS'!$B$3:$D$3,0)-1)</f>
        <v>0.12255944326309685</v>
      </c>
      <c r="M6" s="31" cm="1">
        <f t="array" ref="M6">INDEX('02_Common_Size_IS_BS'!$B$4:$P$15,MATCH("Operating Profit (EBIT)",'02_Common_Size_IS_BS'!$A$4:$A$15,0),MATCH($K$2,'02_Common_Size_IS_BS'!$B$2:$P$2,0)+MATCH(M$3,'02_Common_Size_IS_BS'!$B$3:$D$3,0)-1)</f>
        <v>7.923311234545781E-2</v>
      </c>
      <c r="N6" s="31" cm="1">
        <f t="array" ref="N6">INDEX('02_Common_Size_IS_BS'!$B$4:$P$15,MATCH("Operating Profit (EBIT)",'02_Common_Size_IS_BS'!$A$4:$A$15,0),MATCH($N$2,'02_Common_Size_IS_BS'!$B$2:$P$2,0)+MATCH(N$3,'02_Common_Size_IS_BS'!$B$3:$D$3,0)-1)</f>
        <v>3.8745679235478843E-2</v>
      </c>
      <c r="O6" s="31" cm="1">
        <f t="array" ref="O6">INDEX('02_Common_Size_IS_BS'!$B$4:$P$15,MATCH("Operating Profit (EBIT)",'02_Common_Size_IS_BS'!$A$4:$A$15,0),MATCH($N$2,'02_Common_Size_IS_BS'!$B$2:$P$2,0)+MATCH(O$3,'02_Common_Size_IS_BS'!$B$3:$D$3,0)-1)</f>
        <v>0.10724235023488905</v>
      </c>
      <c r="P6" s="31" cm="1">
        <f t="array" ref="P6">INDEX('02_Common_Size_IS_BS'!$B$4:$P$15,MATCH("Operating Profit (EBIT)",'02_Common_Size_IS_BS'!$A$4:$A$15,0),MATCH($N$2,'02_Common_Size_IS_BS'!$B$2:$P$2,0)+MATCH(P$3,'02_Common_Size_IS_BS'!$B$3:$D$3,0)-1)</f>
        <v>7.7038369304556362E-2</v>
      </c>
    </row>
    <row r="7" spans="1:16" x14ac:dyDescent="0.2">
      <c r="A7" s="1" t="s">
        <v>183</v>
      </c>
      <c r="B7" s="31" cm="1">
        <f t="array" ref="B7">INDEX('02_Common_Size_IS_BS'!$B$4:$P$15,MATCH("Gross Profit",'02_Common_Size_IS_BS'!$A$4:$A$15,0),MATCH($B$2,'02_Common_Size_IS_BS'!$B$2:$P$2,0)+MATCH(B$3,'02_Common_Size_IS_BS'!$B$3:$D$3,0)-1)</f>
        <v>0.15078184302413847</v>
      </c>
      <c r="C7" s="31" cm="1">
        <f t="array" ref="C7">INDEX('02_Common_Size_IS_BS'!$B$4:$P$15,MATCH("Gross Profit",'02_Common_Size_IS_BS'!$A$4:$A$15,0),MATCH($B$2,'02_Common_Size_IS_BS'!$B$2:$P$2,0)+MATCH(C$3,'02_Common_Size_IS_BS'!$B$3:$D$3,0)-1)</f>
        <v>0.16891554600874339</v>
      </c>
      <c r="D7" s="31" cm="1">
        <f t="array" ref="D7">INDEX('02_Common_Size_IS_BS'!$B$4:$P$15,MATCH("Gross Profit",'02_Common_Size_IS_BS'!$A$4:$A$15,0),MATCH($B$2,'02_Common_Size_IS_BS'!$B$2:$P$2,0)+MATCH(D$3,'02_Common_Size_IS_BS'!$B$3:$D$3,0)-1)</f>
        <v>0.15918276055953007</v>
      </c>
      <c r="E7" s="31" cm="1">
        <f t="array" ref="E7">INDEX('02_Common_Size_IS_BS'!$B$4:$P$15,MATCH("Gross Profit",'02_Common_Size_IS_BS'!$A$4:$A$15,0),MATCH($E$2,'02_Common_Size_IS_BS'!$B$2:$P$2,0)+MATCH(E$3,'02_Common_Size_IS_BS'!$B$3:$D$3,0)-1)</f>
        <v>0.16239543473513299</v>
      </c>
      <c r="F7" s="31" cm="1">
        <f t="array" ref="F7">INDEX('02_Common_Size_IS_BS'!$B$4:$P$15,MATCH("Gross Profit",'02_Common_Size_IS_BS'!$A$4:$A$15,0),MATCH($E$2,'02_Common_Size_IS_BS'!$B$2:$P$2,0)+MATCH(F$3,'02_Common_Size_IS_BS'!$B$3:$D$3,0)-1)</f>
        <v>0.19627182438836765</v>
      </c>
      <c r="G7" s="31" cm="1">
        <f t="array" ref="G7">INDEX('02_Common_Size_IS_BS'!$B$4:$P$15,MATCH("Gross Profit",'02_Common_Size_IS_BS'!$A$4:$A$15,0),MATCH($E$2,'02_Common_Size_IS_BS'!$B$2:$P$2,0)+MATCH(G$3,'02_Common_Size_IS_BS'!$B$3:$D$3,0)-1)</f>
        <v>0.18318466315115076</v>
      </c>
      <c r="H7" s="31" cm="1">
        <f t="array" ref="H7">INDEX('02_Common_Size_IS_BS'!$B$4:$P$15,MATCH("Gross Profit",'02_Common_Size_IS_BS'!$A$4:$A$15,0),MATCH($H$2,'02_Common_Size_IS_BS'!$B$2:$P$2,0)+MATCH(H$3,'02_Common_Size_IS_BS'!$B$3:$D$3,0)-1)</f>
        <v>0.15767469455105029</v>
      </c>
      <c r="I7" s="31" cm="1">
        <f t="array" ref="I7">INDEX('02_Common_Size_IS_BS'!$B$4:$P$15,MATCH("Gross Profit",'02_Common_Size_IS_BS'!$A$4:$A$15,0),MATCH($H$2,'02_Common_Size_IS_BS'!$B$2:$P$2,0)+MATCH(I$3,'02_Common_Size_IS_BS'!$B$3:$D$3,0)-1)</f>
        <v>0.22437964207860694</v>
      </c>
      <c r="J7" s="31" cm="1">
        <f t="array" ref="J7">INDEX('02_Common_Size_IS_BS'!$B$4:$P$15,MATCH("Gross Profit",'02_Common_Size_IS_BS'!$A$4:$A$15,0),MATCH($H$2,'02_Common_Size_IS_BS'!$B$2:$P$2,0)+MATCH(J$3,'02_Common_Size_IS_BS'!$B$3:$D$3,0)-1)</f>
        <v>0.18934231919673331</v>
      </c>
      <c r="K7" s="31" cm="1">
        <f t="array" ref="K7">INDEX('02_Common_Size_IS_BS'!$B$4:$P$15,MATCH("Gross Profit",'02_Common_Size_IS_BS'!$A$4:$A$15,0),MATCH($K$2,'02_Common_Size_IS_BS'!$B$2:$P$2,0)+MATCH(K$3,'02_Common_Size_IS_BS'!$B$3:$D$3,0)-1)</f>
        <v>0.17361118139403078</v>
      </c>
      <c r="L7" s="31" cm="1">
        <f t="array" ref="L7">INDEX('02_Common_Size_IS_BS'!$B$4:$P$15,MATCH("Gross Profit",'02_Common_Size_IS_BS'!$A$4:$A$15,0),MATCH($K$2,'02_Common_Size_IS_BS'!$B$2:$P$2,0)+MATCH(L$3,'02_Common_Size_IS_BS'!$B$3:$D$3,0)-1)</f>
        <v>0.22677429891278988</v>
      </c>
      <c r="M7" s="31" cm="1">
        <f t="array" ref="M7">INDEX('02_Common_Size_IS_BS'!$B$4:$P$15,MATCH("Gross Profit",'02_Common_Size_IS_BS'!$A$4:$A$15,0),MATCH($K$2,'02_Common_Size_IS_BS'!$B$2:$P$2,0)+MATCH(M$3,'02_Common_Size_IS_BS'!$B$3:$D$3,0)-1)</f>
        <v>0.18700591291883176</v>
      </c>
      <c r="N7" s="31" cm="1">
        <f t="array" ref="N7">INDEX('02_Common_Size_IS_BS'!$B$4:$P$15,MATCH("Gross Profit",'02_Common_Size_IS_BS'!$A$4:$A$15,0),MATCH($N$2,'02_Common_Size_IS_BS'!$B$2:$P$2,0)+MATCH(N$3,'02_Common_Size_IS_BS'!$B$3:$D$3,0)-1)</f>
        <v>0.18348281860696292</v>
      </c>
      <c r="O7" s="31" cm="1">
        <f t="array" ref="O7">INDEX('02_Common_Size_IS_BS'!$B$4:$P$15,MATCH("Gross Profit",'02_Common_Size_IS_BS'!$A$4:$A$15,0),MATCH($N$2,'02_Common_Size_IS_BS'!$B$2:$P$2,0)+MATCH(O$3,'02_Common_Size_IS_BS'!$B$3:$D$3,0)-1)</f>
        <v>0.22910084918554369</v>
      </c>
      <c r="P7" s="31" cm="1">
        <f t="array" ref="P7">INDEX('02_Common_Size_IS_BS'!$B$4:$P$15,MATCH("Gross Profit",'02_Common_Size_IS_BS'!$A$4:$A$15,0),MATCH($N$2,'02_Common_Size_IS_BS'!$B$2:$P$2,0)+MATCH(P$3,'02_Common_Size_IS_BS'!$B$3:$D$3,0)-1)</f>
        <v>0.18881294964028777</v>
      </c>
    </row>
    <row r="8" spans="1:16" x14ac:dyDescent="0.2">
      <c r="A8" s="1" t="s">
        <v>200</v>
      </c>
      <c r="B8" s="31">
        <f>B10*B5</f>
        <v>5.7623736225036318E-2</v>
      </c>
      <c r="C8" s="31">
        <f t="shared" ref="C8:P8" si="0">C10*C5</f>
        <v>2.0485094413575267E-2</v>
      </c>
      <c r="D8" s="31">
        <f t="shared" si="0"/>
        <v>1.081125936688764E-2</v>
      </c>
      <c r="E8" s="31">
        <f t="shared" si="0"/>
        <v>5.2442817387680994E-2</v>
      </c>
      <c r="F8" s="31">
        <f t="shared" si="0"/>
        <v>3.9425640870250293E-2</v>
      </c>
      <c r="G8" s="31">
        <f t="shared" si="0"/>
        <v>2.0101472297024997E-2</v>
      </c>
      <c r="H8" s="31">
        <f t="shared" si="0"/>
        <v>6.234159366588847E-2</v>
      </c>
      <c r="I8" s="31">
        <f t="shared" si="0"/>
        <v>5.5563946718874567E-2</v>
      </c>
      <c r="J8" s="31">
        <f t="shared" si="0"/>
        <v>3.0794837639165507E-2</v>
      </c>
      <c r="K8" s="31">
        <f t="shared" si="0"/>
        <v>9.2166369716972854E-2</v>
      </c>
      <c r="L8" s="31">
        <f t="shared" si="0"/>
        <v>5.6974565544411222E-2</v>
      </c>
      <c r="M8" s="31">
        <f t="shared" si="0"/>
        <v>2.9020100272555374E-2</v>
      </c>
      <c r="N8" s="31">
        <f t="shared" si="0"/>
        <v>8.0264824880460994E-2</v>
      </c>
      <c r="O8" s="31">
        <f t="shared" si="0"/>
        <v>8.5767493694644842E-2</v>
      </c>
      <c r="P8" s="31">
        <f t="shared" si="0"/>
        <v>3.0080245836351532E-2</v>
      </c>
    </row>
    <row r="9" spans="1:16" x14ac:dyDescent="0.2">
      <c r="A9" s="2" t="s">
        <v>184</v>
      </c>
    </row>
    <row r="10" spans="1:16" x14ac:dyDescent="0.2">
      <c r="A10" s="1" t="s">
        <v>185</v>
      </c>
      <c r="B10" s="30" cm="1">
        <f t="array" ref="B10">INDEX('01_All_Raw_Data'!$B$4:$P$15,MATCH("Revenues",'01_All_Raw_Data'!$A$4:$A$15,0),MATCH($B$2,'01_All_Raw_Data'!$B$2:$P$2,0)+MATCH(B$3,'01_All_Raw_Data'!$B$3:$D$3,0)-1)/INDEX('01_All_Raw_Data'!$B:$P,MATCH("Average Assets",'01_All_Raw_Data'!$A:$A,0),MATCH($B$2,'01_All_Raw_Data'!$B$17:$P$17,0)+MATCH(B$3,'01_All_Raw_Data'!$B$18:$D$18,0)-1)</f>
        <v>1.4498378552876785</v>
      </c>
      <c r="C10" s="30" cm="1">
        <f t="array" ref="C10">INDEX('01_All_Raw_Data'!$B$4:$P$15,MATCH("Revenues",'01_All_Raw_Data'!$A$4:$A$15,0),MATCH($B$2,'01_All_Raw_Data'!$B$2:$P$2,0)+MATCH(C$3,'01_All_Raw_Data'!$B$3:$D$3,0)-1)/INDEX('01_All_Raw_Data'!$B:$P,MATCH("Average Assets",'01_All_Raw_Data'!$A:$A,0),MATCH($B$2,'01_All_Raw_Data'!$B$17:$P$17,0)+MATCH(C$3,'01_All_Raw_Data'!$B$18:$D$18,0)-1)</f>
        <v>0.50805032316571752</v>
      </c>
      <c r="D10" s="30" cm="1">
        <f t="array" ref="D10">INDEX('01_All_Raw_Data'!$B$4:$P$15,MATCH("Revenues",'01_All_Raw_Data'!$A$4:$A$15,0),MATCH($B$2,'01_All_Raw_Data'!$B$2:$P$2,0)+MATCH(D$3,'01_All_Raw_Data'!$B$3:$D$3,0)-1)/INDEX('01_All_Raw_Data'!$B:$P,MATCH("Average Assets",'01_All_Raw_Data'!$A:$A,0),MATCH($B$2,'01_All_Raw_Data'!$B$17:$P$17,0)+MATCH(D$3,'01_All_Raw_Data'!$B$18:$D$18,0)-1)</f>
        <v>0.50402388654205665</v>
      </c>
      <c r="E10" s="30" cm="1">
        <f t="array" ref="E10">INDEX('01_All_Raw_Data'!$B$4:$P$15,MATCH("Revenues",'01_All_Raw_Data'!$A$4:$A$15,0),MATCH($E$2,'01_All_Raw_Data'!$B$2:$P$2,0)+MATCH(E$3,'01_All_Raw_Data'!$B$3:$D$3,0)-1)/INDEX('01_All_Raw_Data'!$B:$P,MATCH("Average Assets",'01_All_Raw_Data'!$A:$A,0),MATCH($E$2,'01_All_Raw_Data'!$B$17:$P$17,0)+MATCH(E$3,'01_All_Raw_Data'!$B$18:$D$18,0)-1)</f>
        <v>1.5672872300846763</v>
      </c>
      <c r="F10" s="30" cm="1">
        <f t="array" ref="F10">INDEX('01_All_Raw_Data'!$B$4:$P$15,MATCH("Revenues",'01_All_Raw_Data'!$A$4:$A$15,0),MATCH($E$2,'01_All_Raw_Data'!$B$2:$P$2,0)+MATCH(F$3,'01_All_Raw_Data'!$B$3:$D$3,0)-1)/INDEX('01_All_Raw_Data'!$B:$P,MATCH("Average Assets",'01_All_Raw_Data'!$A:$A,0),MATCH($E$2,'01_All_Raw_Data'!$B$17:$P$17,0)+MATCH(F$3,'01_All_Raw_Data'!$B$18:$D$18,0)-1)</f>
        <v>0.55145900248469792</v>
      </c>
      <c r="G10" s="30" cm="1">
        <f t="array" ref="G10">INDEX('01_All_Raw_Data'!$B$4:$P$15,MATCH("Revenues",'01_All_Raw_Data'!$A$4:$A$15,0),MATCH($E$2,'01_All_Raw_Data'!$B$2:$P$2,0)+MATCH(G$3,'01_All_Raw_Data'!$B$3:$D$3,0)-1)/INDEX('01_All_Raw_Data'!$B:$P,MATCH("Average Assets",'01_All_Raw_Data'!$A:$A,0),MATCH($E$2,'01_All_Raw_Data'!$B$17:$P$17,0)+MATCH(G$3,'01_All_Raw_Data'!$B$18:$D$18,0)-1)</f>
        <v>0.52650775232456215</v>
      </c>
      <c r="H10" s="30" cm="1">
        <f t="array" ref="H10">INDEX('01_All_Raw_Data'!$B$4:$P$15,MATCH("Revenues",'01_All_Raw_Data'!$A$4:$A$15,0),MATCH($H$2,'01_All_Raw_Data'!$B$2:$P$2,0)+MATCH(H$3,'01_All_Raw_Data'!$B$3:$D$3,0)-1)/INDEX('01_All_Raw_Data'!$B:$P,MATCH("Average Assets",'01_All_Raw_Data'!$A:$A,0),MATCH($H$2,'01_All_Raw_Data'!$B$17:$P$17,0)+MATCH(H$3,'01_All_Raw_Data'!$B$18:$D$18,0)-1)</f>
        <v>1.5403199897192059</v>
      </c>
      <c r="I10" s="30" cm="1">
        <f t="array" ref="I10">INDEX('01_All_Raw_Data'!$B$4:$P$15,MATCH("Revenues",'01_All_Raw_Data'!$A$4:$A$15,0),MATCH($H$2,'01_All_Raw_Data'!$B$2:$P$2,0)+MATCH(I$3,'01_All_Raw_Data'!$B$3:$D$3,0)-1)/INDEX('01_All_Raw_Data'!$B:$P,MATCH("Average Assets",'01_All_Raw_Data'!$A:$A,0),MATCH($H$2,'01_All_Raw_Data'!$B$17:$P$17,0)+MATCH(I$3,'01_All_Raw_Data'!$B$18:$D$18,0)-1)</f>
        <v>0.58587824570728264</v>
      </c>
      <c r="J10" s="30" cm="1">
        <f t="array" ref="J10">INDEX('01_All_Raw_Data'!$B$4:$P$15,MATCH("Revenues",'01_All_Raw_Data'!$A$4:$A$15,0),MATCH($H$2,'01_All_Raw_Data'!$B$2:$P$2,0)+MATCH(J$3,'01_All_Raw_Data'!$B$3:$D$3,0)-1)/INDEX('01_All_Raw_Data'!$B:$P,MATCH("Average Assets",'01_All_Raw_Data'!$A:$A,0),MATCH($H$2,'01_All_Raw_Data'!$B$17:$P$17,0)+MATCH(J$3,'01_All_Raw_Data'!$B$18:$D$18,0)-1)</f>
        <v>0.55358564556564127</v>
      </c>
      <c r="K10" s="30" cm="1">
        <f t="array" ref="K10">INDEX('01_All_Raw_Data'!$B$4:$P$15,MATCH("Revenues",'01_All_Raw_Data'!$A$4:$A$15,0),MATCH($K$2,'01_All_Raw_Data'!$B$2:$P$2,0)+MATCH(K$3,'01_All_Raw_Data'!$B$3:$D$3,0)-1)/INDEX('01_All_Raw_Data'!$B:$P,MATCH("Average Assets",'01_All_Raw_Data'!$A:$A,0),MATCH($K$2,'01_All_Raw_Data'!$B$17:$P$17,0)+MATCH(K$3,'01_All_Raw_Data'!$B$18:$D$18,0)-1)</f>
        <v>1.4429856587901977</v>
      </c>
      <c r="L10" s="30" cm="1">
        <f t="array" ref="L10">INDEX('01_All_Raw_Data'!$B$4:$P$15,MATCH("Revenues",'01_All_Raw_Data'!$A$4:$A$15,0),MATCH($K$2,'01_All_Raw_Data'!$B$2:$P$2,0)+MATCH(L$3,'01_All_Raw_Data'!$B$3:$D$3,0)-1)/INDEX('01_All_Raw_Data'!$B:$P,MATCH("Average Assets",'01_All_Raw_Data'!$A:$A,0),MATCH($K$2,'01_All_Raw_Data'!$B$17:$P$17,0)+MATCH(L$3,'01_All_Raw_Data'!$B$18:$D$18,0)-1)</f>
        <v>0.57715938951150914</v>
      </c>
      <c r="M10" s="30" cm="1">
        <f t="array" ref="M10">INDEX('01_All_Raw_Data'!$B$4:$P$15,MATCH("Revenues",'01_All_Raw_Data'!$A$4:$A$15,0),MATCH($K$2,'01_All_Raw_Data'!$B$2:$P$2,0)+MATCH(M$3,'01_All_Raw_Data'!$B$3:$D$3,0)-1)/INDEX('01_All_Raw_Data'!$B:$P,MATCH("Average Assets",'01_All_Raw_Data'!$A:$A,0),MATCH($K$2,'01_All_Raw_Data'!$B$17:$P$17,0)+MATCH(M$3,'01_All_Raw_Data'!$B$18:$D$18,0)-1)</f>
        <v>0.51078964179743769</v>
      </c>
      <c r="N10" s="30" cm="1">
        <f t="array" ref="N10">INDEX('01_All_Raw_Data'!$B$4:$P$15,MATCH("Revenues",'01_All_Raw_Data'!$A$4:$A$15,0),MATCH($N$2,'01_All_Raw_Data'!$B$2:$P$2,0)+MATCH(N$3,'01_All_Raw_Data'!$B$3:$D$3,0)-1)/INDEX('01_All_Raw_Data'!$B:$P,MATCH("Average Assets",'01_All_Raw_Data'!$A:$A,0),MATCH($N$2,'01_All_Raw_Data'!$B$17:$P$17,0)+MATCH(N$3,'01_All_Raw_Data'!$B$18:$D$18,0)-1)</f>
        <v>1.4471535412154155</v>
      </c>
      <c r="O10" s="30" cm="1">
        <f t="array" ref="O10">INDEX('01_All_Raw_Data'!$B$4:$P$15,MATCH("Revenues",'01_All_Raw_Data'!$A$4:$A$15,0),MATCH($N$2,'01_All_Raw_Data'!$B$2:$P$2,0)+MATCH(O$3,'01_All_Raw_Data'!$B$3:$D$3,0)-1)/INDEX('01_All_Raw_Data'!$B:$P,MATCH("Average Assets",'01_All_Raw_Data'!$A:$A,0),MATCH($N$2,'01_All_Raw_Data'!$B$17:$P$17,0)+MATCH(O$3,'01_All_Raw_Data'!$B$18:$D$18,0)-1)</f>
        <v>0.49083890550765441</v>
      </c>
      <c r="P10" s="30" cm="1">
        <f t="array" ref="P10">INDEX('01_All_Raw_Data'!$B$4:$P$15,MATCH("Revenues",'01_All_Raw_Data'!$A$4:$A$15,0),MATCH($N$2,'01_All_Raw_Data'!$B$2:$P$2,0)+MATCH(P$3,'01_All_Raw_Data'!$B$3:$D$3,0)-1)/INDEX('01_All_Raw_Data'!$B:$P,MATCH("Average Assets",'01_All_Raw_Data'!$A:$A,0),MATCH($N$2,'01_All_Raw_Data'!$B$17:$P$17,0)+MATCH(P$3,'01_All_Raw_Data'!$B$18:$D$18,0)-1)</f>
        <v>0.487851008508145</v>
      </c>
    </row>
    <row r="11" spans="1:16" x14ac:dyDescent="0.2">
      <c r="A11" s="2" t="s">
        <v>186</v>
      </c>
    </row>
    <row r="12" spans="1:16" x14ac:dyDescent="0.2">
      <c r="A12" s="1" t="s">
        <v>187</v>
      </c>
      <c r="B12" s="32" cm="1">
        <f t="array" ref="B12">1/INDEX('02_Common_Size_IS_BS'!$B$33:$P$41,MATCH("Total Equity",'02_Common_Size_IS_BS'!$A$33:$A$41,0),MATCH($B$2,'02_Common_Size_IS_BS'!$B$19:$P$19,0)+MATCH(B$3,'02_Common_Size_IS_BS'!$B$20:$D$20,0)-1)</f>
        <v>4.1623686723973261</v>
      </c>
      <c r="C12" s="32" cm="1">
        <f t="array" ref="C12">1/INDEX('02_Common_Size_IS_BS'!$B$33:$P$41,MATCH("Total Equity",'02_Common_Size_IS_BS'!$A$33:$A$41,0),MATCH($B$2,'02_Common_Size_IS_BS'!$B$19:$P$19,0)+MATCH(C$3,'02_Common_Size_IS_BS'!$B$20:$D$20,0)-1)</f>
        <v>2.7108022071307301</v>
      </c>
      <c r="D12" s="32" cm="1">
        <f t="array" ref="D12">1/INDEX('02_Common_Size_IS_BS'!$B$33:$P$41,MATCH("Total Equity",'02_Common_Size_IS_BS'!$A$33:$A$41,0),MATCH($B$2,'02_Common_Size_IS_BS'!$B$19:$P$19,0)+MATCH(D$3,'02_Common_Size_IS_BS'!$B$20:$D$20,0)-1)</f>
        <v>3.1738700050232942</v>
      </c>
      <c r="E12" s="32" cm="1">
        <f t="array" ref="E12">1/INDEX('02_Common_Size_IS_BS'!$B$33:$P$41,MATCH("Total Equity",'02_Common_Size_IS_BS'!$A$33:$A$41,0),MATCH($E$2,'02_Common_Size_IS_BS'!$B$19:$P$19,0)+MATCH(E$3,'02_Common_Size_IS_BS'!$B$20:$D$20,0)-1)</f>
        <v>3.9922038980509749</v>
      </c>
      <c r="F12" s="32" cm="1">
        <f t="array" ref="F12">1/INDEX('02_Common_Size_IS_BS'!$B$33:$P$41,MATCH("Total Equity",'02_Common_Size_IS_BS'!$A$33:$A$41,0),MATCH($E$2,'02_Common_Size_IS_BS'!$B$19:$P$19,0)+MATCH(F$3,'02_Common_Size_IS_BS'!$B$20:$D$20,0)-1)</f>
        <v>2.8303962405212006</v>
      </c>
      <c r="G12" s="32" cm="1">
        <f t="array" ref="G12">1/INDEX('02_Common_Size_IS_BS'!$B$33:$P$41,MATCH("Total Equity",'02_Common_Size_IS_BS'!$A$33:$A$41,0),MATCH($E$2,'02_Common_Size_IS_BS'!$B$19:$P$19,0)+MATCH(G$3,'02_Common_Size_IS_BS'!$B$20:$D$20,0)-1)</f>
        <v>3.2171086407327771</v>
      </c>
      <c r="H12" s="32" cm="1">
        <f t="array" ref="H12">1/INDEX('02_Common_Size_IS_BS'!$B$33:$P$41,MATCH("Total Equity",'02_Common_Size_IS_BS'!$A$33:$A$41,0),MATCH($H$2,'02_Common_Size_IS_BS'!$B$19:$P$19,0)+MATCH(H$3,'02_Common_Size_IS_BS'!$B$20:$D$20,0)-1)</f>
        <v>3.7822886459959846</v>
      </c>
      <c r="I12" s="32" cm="1">
        <f t="array" ref="I12">1/INDEX('02_Common_Size_IS_BS'!$B$33:$P$41,MATCH("Total Equity",'02_Common_Size_IS_BS'!$A$33:$A$41,0),MATCH($H$2,'02_Common_Size_IS_BS'!$B$19:$P$19,0)+MATCH(I$3,'02_Common_Size_IS_BS'!$B$20:$D$20,0)-1)</f>
        <v>2.8338002068608859</v>
      </c>
      <c r="J12" s="32" cm="1">
        <f t="array" ref="J12">1/INDEX('02_Common_Size_IS_BS'!$B$33:$P$41,MATCH("Total Equity",'02_Common_Size_IS_BS'!$A$33:$A$41,0),MATCH($H$2,'02_Common_Size_IS_BS'!$B$19:$P$19,0)+MATCH(J$3,'02_Common_Size_IS_BS'!$B$20:$D$20,0)-1)</f>
        <v>3.161137790134378</v>
      </c>
      <c r="K12" s="32" cm="1">
        <f t="array" ref="K12">1/INDEX('02_Common_Size_IS_BS'!$B$33:$P$41,MATCH("Total Equity",'02_Common_Size_IS_BS'!$A$33:$A$41,0),MATCH($K$2,'02_Common_Size_IS_BS'!$B$19:$P$19,0)+MATCH(K$3,'02_Common_Size_IS_BS'!$B$20:$D$20,0)-1)</f>
        <v>3.5732020971411611</v>
      </c>
      <c r="L12" s="32" cm="1">
        <f t="array" ref="L12">1/INDEX('02_Common_Size_IS_BS'!$B$33:$P$41,MATCH("Total Equity",'02_Common_Size_IS_BS'!$A$33:$A$41,0),MATCH($K$2,'02_Common_Size_IS_BS'!$B$19:$P$19,0)+MATCH(L$3,'02_Common_Size_IS_BS'!$B$20:$D$20,0)-1)</f>
        <v>3.0045643633002084</v>
      </c>
      <c r="M12" s="32" cm="1">
        <f t="array" ref="M12">1/INDEX('02_Common_Size_IS_BS'!$B$33:$P$41,MATCH("Total Equity",'02_Common_Size_IS_BS'!$A$33:$A$41,0),MATCH($K$2,'02_Common_Size_IS_BS'!$B$19:$P$19,0)+MATCH(M$3,'02_Common_Size_IS_BS'!$B$20:$D$20,0)-1)</f>
        <v>3.162784307568077</v>
      </c>
      <c r="N12" s="32" cm="1">
        <f t="array" ref="N12">1/INDEX('02_Common_Size_IS_BS'!$B$33:$P$41,MATCH("Total Equity",'02_Common_Size_IS_BS'!$A$33:$A$41,0),MATCH($N$2,'02_Common_Size_IS_BS'!$B$19:$P$19,0)+MATCH(N$3,'02_Common_Size_IS_BS'!$B$20:$D$20,0)-1)</f>
        <v>3.4186611718708724</v>
      </c>
      <c r="O12" s="32" cm="1">
        <f t="array" ref="O12">1/INDEX('02_Common_Size_IS_BS'!$B$33:$P$41,MATCH("Total Equity",'02_Common_Size_IS_BS'!$A$33:$A$41,0),MATCH($N$2,'02_Common_Size_IS_BS'!$B$19:$P$19,0)+MATCH(O$3,'02_Common_Size_IS_BS'!$B$20:$D$20,0)-1)</f>
        <v>3.5512047781103502</v>
      </c>
      <c r="P12" s="32" cm="1">
        <f t="array" ref="P12">1/INDEX('02_Common_Size_IS_BS'!$B$33:$P$41,MATCH("Total Equity",'02_Common_Size_IS_BS'!$A$33:$A$41,0),MATCH($N$2,'02_Common_Size_IS_BS'!$B$19:$P$19,0)+MATCH(P$3,'02_Common_Size_IS_BS'!$B$20:$D$20,0)-1)</f>
        <v>3.6167946139004066</v>
      </c>
    </row>
    <row r="13" spans="1:16" x14ac:dyDescent="0.2">
      <c r="A13" s="1" t="s">
        <v>188</v>
      </c>
      <c r="B13" s="30" cm="1">
        <f t="array" ref="B13">INDEX('02_Common_Size_IS_BS'!$B$33:$P$41,MATCH("Total Liabilities",'02_Common_Size_IS_BS'!$A$33:$A$41,0),MATCH($B$2,'02_Common_Size_IS_BS'!$B$19:$P$19,0)+MATCH(B$3,'02_Common_Size_IS_BS'!$B$20:$D$20,0)-1)</f>
        <v>0.75943666819642042</v>
      </c>
      <c r="C13" s="30" cm="1">
        <f t="array" ref="C13">INDEX('02_Common_Size_IS_BS'!$B$33:$P$41,MATCH("Total Liabilities",'02_Common_Size_IS_BS'!$A$33:$A$41,0),MATCH($B$2,'02_Common_Size_IS_BS'!$B$19:$P$19,0)+MATCH(C$3,'02_Common_Size_IS_BS'!$B$20:$D$20,0)-1)</f>
        <v>0.63110550914798835</v>
      </c>
      <c r="D13" s="30" cm="1">
        <f t="array" ref="D13">INDEX('02_Common_Size_IS_BS'!$B$33:$P$41,MATCH("Total Liabilities",'02_Common_Size_IS_BS'!$A$33:$A$41,0),MATCH($B$2,'02_Common_Size_IS_BS'!$B$19:$P$19,0)+MATCH(D$3,'02_Common_Size_IS_BS'!$B$20:$D$20,0)-1)</f>
        <v>0.68492723444334624</v>
      </c>
      <c r="E13" s="30" cm="1">
        <f t="array" ref="E13">INDEX('02_Common_Size_IS_BS'!$B$33:$P$41,MATCH("Total Liabilities",'02_Common_Size_IS_BS'!$A$33:$A$41,0),MATCH($E$2,'02_Common_Size_IS_BS'!$B$19:$P$19,0)+MATCH(E$3,'02_Common_Size_IS_BS'!$B$20:$D$20,0)-1)</f>
        <v>0.74916629112212707</v>
      </c>
      <c r="F13" s="30" cm="1">
        <f t="array" ref="F13">INDEX('02_Common_Size_IS_BS'!$B$33:$P$41,MATCH("Total Liabilities",'02_Common_Size_IS_BS'!$A$33:$A$41,0),MATCH($E$2,'02_Common_Size_IS_BS'!$B$19:$P$19,0)+MATCH(F$3,'02_Common_Size_IS_BS'!$B$20:$D$20,0)-1)</f>
        <v>0.64669257763857968</v>
      </c>
      <c r="G13" s="30" cm="1">
        <f t="array" ref="G13">INDEX('02_Common_Size_IS_BS'!$B$33:$P$41,MATCH("Total Liabilities",'02_Common_Size_IS_BS'!$A$33:$A$41,0),MATCH($E$2,'02_Common_Size_IS_BS'!$B$19:$P$19,0)+MATCH(G$3,'02_Common_Size_IS_BS'!$B$20:$D$20,0)-1)</f>
        <v>0.68916030051903521</v>
      </c>
      <c r="H13" s="30" cm="1">
        <f t="array" ref="H13">INDEX('02_Common_Size_IS_BS'!$B$33:$P$41,MATCH("Total Liabilities",'02_Common_Size_IS_BS'!$A$33:$A$41,0),MATCH($H$2,'02_Common_Size_IS_BS'!$B$19:$P$19,0)+MATCH(H$3,'02_Common_Size_IS_BS'!$B$20:$D$20,0)-1)</f>
        <v>0.73525595659353626</v>
      </c>
      <c r="I13" s="30" cm="1">
        <f t="array" ref="I13">INDEX('02_Common_Size_IS_BS'!$B$33:$P$41,MATCH("Total Liabilities",'02_Common_Size_IS_BS'!$A$33:$A$41,0),MATCH($H$2,'02_Common_Size_IS_BS'!$B$19:$P$19,0)+MATCH(I$3,'02_Common_Size_IS_BS'!$B$20:$D$20,0)-1)</f>
        <v>0.64711697120392975</v>
      </c>
      <c r="J13" s="30" cm="1">
        <f t="array" ref="J13">INDEX('02_Common_Size_IS_BS'!$B$33:$P$41,MATCH("Total Liabilities",'02_Common_Size_IS_BS'!$A$33:$A$41,0),MATCH($H$2,'02_Common_Size_IS_BS'!$B$19:$P$19,0)+MATCH(J$3,'02_Common_Size_IS_BS'!$B$20:$D$20,0)-1)</f>
        <v>0.68365987160566211</v>
      </c>
      <c r="K13" s="30" cm="1">
        <f t="array" ref="K13">INDEX('02_Common_Size_IS_BS'!$B$33:$P$41,MATCH("Total Liabilities",'02_Common_Size_IS_BS'!$A$33:$A$41,0),MATCH($K$2,'02_Common_Size_IS_BS'!$B$19:$P$19,0)+MATCH(K$3,'02_Common_Size_IS_BS'!$B$20:$D$20,0)-1)</f>
        <v>0.71979292111346427</v>
      </c>
      <c r="L13" s="30" cm="1">
        <f t="array" ref="L13">INDEX('02_Common_Size_IS_BS'!$B$33:$P$41,MATCH("Total Liabilities",'02_Common_Size_IS_BS'!$A$33:$A$41,0),MATCH($K$2,'02_Common_Size_IS_BS'!$B$19:$P$19,0)+MATCH(L$3,'02_Common_Size_IS_BS'!$B$20:$D$20,0)-1)</f>
        <v>0.66717304770878605</v>
      </c>
      <c r="M13" s="30" cm="1">
        <f t="array" ref="M13">INDEX('02_Common_Size_IS_BS'!$B$33:$P$41,MATCH("Total Liabilities",'02_Common_Size_IS_BS'!$A$33:$A$41,0),MATCH($K$2,'02_Common_Size_IS_BS'!$B$19:$P$19,0)+MATCH(M$3,'02_Common_Size_IS_BS'!$B$20:$D$20,0)-1)</f>
        <v>0.68382289060713142</v>
      </c>
      <c r="N13" s="30" cm="1">
        <f t="array" ref="N13">INDEX('02_Common_Size_IS_BS'!$B$33:$P$41,MATCH("Total Liabilities",'02_Common_Size_IS_BS'!$A$33:$A$41,0),MATCH($N$2,'02_Common_Size_IS_BS'!$B$19:$P$19,0)+MATCH(N$3,'02_Common_Size_IS_BS'!$B$20:$D$20,0)-1)</f>
        <v>0.70708600571825975</v>
      </c>
      <c r="O13" s="30" cm="1">
        <f t="array" ref="O13">INDEX('02_Common_Size_IS_BS'!$B$33:$P$41,MATCH("Total Liabilities",'02_Common_Size_IS_BS'!$A$33:$A$41,0),MATCH($N$2,'02_Common_Size_IS_BS'!$B$19:$P$19,0)+MATCH(O$3,'02_Common_Size_IS_BS'!$B$20:$D$20,0)-1)</f>
        <v>0.71840542506475358</v>
      </c>
      <c r="P13" s="30" cm="1">
        <f t="array" ref="P13">INDEX('02_Common_Size_IS_BS'!$B$33:$P$41,MATCH("Total Liabilities",'02_Common_Size_IS_BS'!$A$33:$A$41,0),MATCH($N$2,'02_Common_Size_IS_BS'!$B$19:$P$19,0)+MATCH(P$3,'02_Common_Size_IS_BS'!$B$20:$D$20,0)-1)</f>
        <v>0.72351019373487779</v>
      </c>
    </row>
    <row r="14" spans="1:16" x14ac:dyDescent="0.2">
      <c r="A14" s="2" t="s">
        <v>189</v>
      </c>
    </row>
    <row r="15" spans="1:16" x14ac:dyDescent="0.2">
      <c r="A15" s="1" t="s">
        <v>190</v>
      </c>
      <c r="B15" s="30" cm="1">
        <f t="array" ref="B15">INDEX('01_All_Raw_Data'!$B$18:$P$31,MATCH("Total Current Assets",'01_All_Raw_Data'!$A$18:$A$31,0),MATCH($B$2,'01_All_Raw_Data'!$B$17:$P$17,0)+MATCH(B$3,'01_All_Raw_Data'!$B$18:$D$18,0)-1)/INDEX('01_All_Raw_Data'!$B$32:$P$40,MATCH("Total Current Liabilities",'01_All_Raw_Data'!$A$32:$A$40,0),MATCH($B$2,'01_All_Raw_Data'!$B$17:$P$17,0)+MATCH(B$3,'01_All_Raw_Data'!$B$18:$D$18,0)-1)</f>
        <v>1.0873401215215159</v>
      </c>
      <c r="C15" s="30" cm="1">
        <f t="array" ref="C15">INDEX('01_All_Raw_Data'!$B$18:$P$31,MATCH("Total Current Assets",'01_All_Raw_Data'!$A$18:$A$31,0),MATCH($B$2,'01_All_Raw_Data'!$B$17:$P$17,0)+MATCH(C$3,'01_All_Raw_Data'!$B$18:$D$18,0)-1)/INDEX('01_All_Raw_Data'!$B$32:$P$40,MATCH("Total Current Liabilities",'01_All_Raw_Data'!$A$32:$A$40,0),MATCH($B$2,'01_All_Raw_Data'!$B$17:$P$17,0)+MATCH(C$3,'01_All_Raw_Data'!$B$18:$D$18,0)-1)</f>
        <v>1.3845027654267432</v>
      </c>
      <c r="D15" s="30" cm="1">
        <f t="array" ref="D15">INDEX('01_All_Raw_Data'!$B$18:$P$31,MATCH("Total Current Assets",'01_All_Raw_Data'!$A$18:$A$31,0),MATCH($B$2,'01_All_Raw_Data'!$B$17:$P$17,0)+MATCH(D$3,'01_All_Raw_Data'!$B$18:$D$18,0)-1)/INDEX('01_All_Raw_Data'!$B$32:$P$40,MATCH("Total Current Liabilities",'01_All_Raw_Data'!$A$32:$A$40,0),MATCH($B$2,'01_All_Raw_Data'!$B$17:$P$17,0)+MATCH(D$3,'01_All_Raw_Data'!$B$18:$D$18,0)-1)</f>
        <v>1.0942059375344884</v>
      </c>
      <c r="E15" s="30" cm="1">
        <f t="array" ref="E15">INDEX('01_All_Raw_Data'!$B$18:$P$31,MATCH("Total Current Assets",'01_All_Raw_Data'!$A$18:$A$31,0),MATCH($E$2,'01_All_Raw_Data'!$B$17:$P$17,0)+MATCH(E$3,'01_All_Raw_Data'!$B$18:$D$18,0)-1)/INDEX('01_All_Raw_Data'!$B$32:$P$40,MATCH("Total Current Liabilities",'01_All_Raw_Data'!$A$32:$A$40,0),MATCH($E$2,'01_All_Raw_Data'!$B$17:$P$17,0)+MATCH(E$3,'01_All_Raw_Data'!$B$18:$D$18,0)-1)</f>
        <v>1.1097288187528727</v>
      </c>
      <c r="F15" s="30" cm="1">
        <f t="array" ref="F15">INDEX('01_All_Raw_Data'!$B$18:$P$31,MATCH("Total Current Assets",'01_All_Raw_Data'!$A$18:$A$31,0),MATCH($E$2,'01_All_Raw_Data'!$B$17:$P$17,0)+MATCH(F$3,'01_All_Raw_Data'!$B$18:$D$18,0)-1)/INDEX('01_All_Raw_Data'!$B$32:$P$40,MATCH("Total Current Liabilities",'01_All_Raw_Data'!$A$32:$A$40,0),MATCH($E$2,'01_All_Raw_Data'!$B$17:$P$17,0)+MATCH(F$3,'01_All_Raw_Data'!$B$18:$D$18,0)-1)</f>
        <v>1.3600486461924999</v>
      </c>
      <c r="G15" s="30" cm="1">
        <f t="array" ref="G15">INDEX('01_All_Raw_Data'!$B$18:$P$31,MATCH("Total Current Assets",'01_All_Raw_Data'!$A$18:$A$31,0),MATCH($E$2,'01_All_Raw_Data'!$B$17:$P$17,0)+MATCH(G$3,'01_All_Raw_Data'!$B$18:$D$18,0)-1)/INDEX('01_All_Raw_Data'!$B$32:$P$40,MATCH("Total Current Liabilities",'01_All_Raw_Data'!$A$32:$A$40,0),MATCH($E$2,'01_All_Raw_Data'!$B$17:$P$17,0)+MATCH(G$3,'01_All_Raw_Data'!$B$18:$D$18,0)-1)</f>
        <v>1.1298937057395215</v>
      </c>
      <c r="H15" s="30" cm="1">
        <f t="array" ref="H15">INDEX('01_All_Raw_Data'!$B$18:$P$31,MATCH("Total Current Assets",'01_All_Raw_Data'!$A$18:$A$31,0),MATCH($H$2,'01_All_Raw_Data'!$B$17:$P$17,0)+MATCH(H$3,'01_All_Raw_Data'!$B$18:$D$18,0)-1)/INDEX('01_All_Raw_Data'!$B$32:$P$40,MATCH("Total Current Liabilities",'01_All_Raw_Data'!$A$32:$A$40,0),MATCH($H$2,'01_All_Raw_Data'!$B$17:$P$17,0)+MATCH(H$3,'01_All_Raw_Data'!$B$18:$D$18,0)-1)</f>
        <v>1.2095952403557075</v>
      </c>
      <c r="I15" s="30" cm="1">
        <f t="array" ref="I15">INDEX('01_All_Raw_Data'!$B$18:$P$31,MATCH("Total Current Assets",'01_All_Raw_Data'!$A$18:$A$31,0),MATCH($H$2,'01_All_Raw_Data'!$B$17:$P$17,0)+MATCH(I$3,'01_All_Raw_Data'!$B$18:$D$18,0)-1)/INDEX('01_All_Raw_Data'!$B$32:$P$40,MATCH("Total Current Liabilities",'01_All_Raw_Data'!$A$32:$A$40,0),MATCH($H$2,'01_All_Raw_Data'!$B$17:$P$17,0)+MATCH(I$3,'01_All_Raw_Data'!$B$18:$D$18,0)-1)</f>
        <v>1.2620035422277216</v>
      </c>
      <c r="J15" s="30" cm="1">
        <f t="array" ref="J15">INDEX('01_All_Raw_Data'!$B$18:$P$31,MATCH("Total Current Assets",'01_All_Raw_Data'!$A$18:$A$31,0),MATCH($H$2,'01_All_Raw_Data'!$B$17:$P$17,0)+MATCH(J$3,'01_All_Raw_Data'!$B$18:$D$18,0)-1)/INDEX('01_All_Raw_Data'!$B$32:$P$40,MATCH("Total Current Liabilities",'01_All_Raw_Data'!$A$32:$A$40,0),MATCH($H$2,'01_All_Raw_Data'!$B$17:$P$17,0)+MATCH(J$3,'01_All_Raw_Data'!$B$18:$D$18,0)-1)</f>
        <v>1.1640323693132693</v>
      </c>
      <c r="K15" s="30" cm="1">
        <f t="array" ref="K15">INDEX('01_All_Raw_Data'!$B$18:$P$31,MATCH("Total Current Assets",'01_All_Raw_Data'!$A$18:$A$31,0),MATCH($K$2,'01_All_Raw_Data'!$B$17:$P$17,0)+MATCH(K$3,'01_All_Raw_Data'!$B$18:$D$18,0)-1)/INDEX('01_All_Raw_Data'!$B$32:$P$40,MATCH("Total Current Liabilities",'01_All_Raw_Data'!$A$32:$A$40,0),MATCH($K$2,'01_All_Raw_Data'!$B$17:$P$17,0)+MATCH(K$3,'01_All_Raw_Data'!$B$18:$D$18,0)-1)</f>
        <v>1.3352299952084332</v>
      </c>
      <c r="L15" s="30" cm="1">
        <f t="array" ref="L15">INDEX('01_All_Raw_Data'!$B$18:$P$31,MATCH("Total Current Assets",'01_All_Raw_Data'!$A$18:$A$31,0),MATCH($K$2,'01_All_Raw_Data'!$B$17:$P$17,0)+MATCH(L$3,'01_All_Raw_Data'!$B$18:$D$18,0)-1)/INDEX('01_All_Raw_Data'!$B$32:$P$40,MATCH("Total Current Liabilities",'01_All_Raw_Data'!$A$32:$A$40,0),MATCH($K$2,'01_All_Raw_Data'!$B$17:$P$17,0)+MATCH(L$3,'01_All_Raw_Data'!$B$18:$D$18,0)-1)</f>
        <v>1.1636935398119974</v>
      </c>
      <c r="M15" s="30" cm="1">
        <f t="array" ref="M15">INDEX('01_All_Raw_Data'!$B$18:$P$31,MATCH("Total Current Assets",'01_All_Raw_Data'!$A$18:$A$31,0),MATCH($K$2,'01_All_Raw_Data'!$B$17:$P$17,0)+MATCH(M$3,'01_All_Raw_Data'!$B$18:$D$18,0)-1)/INDEX('01_All_Raw_Data'!$B$32:$P$40,MATCH("Total Current Liabilities",'01_All_Raw_Data'!$A$32:$A$40,0),MATCH($K$2,'01_All_Raw_Data'!$B$17:$P$17,0)+MATCH(M$3,'01_All_Raw_Data'!$B$18:$D$18,0)-1)</f>
        <v>1.2267694816744472</v>
      </c>
      <c r="N15" s="30" cm="1">
        <f t="array" ref="N15">INDEX('01_All_Raw_Data'!$B$18:$P$31,MATCH("Total Current Assets",'01_All_Raw_Data'!$A$18:$A$31,0),MATCH($N$2,'01_All_Raw_Data'!$B$17:$P$17,0)+MATCH(N$3,'01_All_Raw_Data'!$B$18:$D$18,0)-1)/INDEX('01_All_Raw_Data'!$B$32:$P$40,MATCH("Total Current Liabilities",'01_All_Raw_Data'!$A$32:$A$40,0),MATCH($N$2,'01_All_Raw_Data'!$B$17:$P$17,0)+MATCH(N$3,'01_All_Raw_Data'!$B$18:$D$18,0)-1)</f>
        <v>1.4317141403865716</v>
      </c>
      <c r="O15" s="30" cm="1">
        <f t="array" ref="O15">INDEX('01_All_Raw_Data'!$B$18:$P$31,MATCH("Total Current Assets",'01_All_Raw_Data'!$A$18:$A$31,0),MATCH($N$2,'01_All_Raw_Data'!$B$17:$P$17,0)+MATCH(O$3,'01_All_Raw_Data'!$B$18:$D$18,0)-1)/INDEX('01_All_Raw_Data'!$B$32:$P$40,MATCH("Total Current Liabilities",'01_All_Raw_Data'!$A$32:$A$40,0),MATCH($N$2,'01_All_Raw_Data'!$B$17:$P$17,0)+MATCH(O$3,'01_All_Raw_Data'!$B$18:$D$18,0)-1)</f>
        <v>1.1739834616481324</v>
      </c>
      <c r="P15" s="30" cm="1">
        <f t="array" ref="P15">INDEX('01_All_Raw_Data'!$B$18:$P$31,MATCH("Total Current Assets",'01_All_Raw_Data'!$A$18:$A$31,0),MATCH($N$2,'01_All_Raw_Data'!$B$17:$P$17,0)+MATCH(P$3,'01_All_Raw_Data'!$B$18:$D$18,0)-1)/INDEX('01_All_Raw_Data'!$B$32:$P$40,MATCH("Total Current Liabilities",'01_All_Raw_Data'!$A$32:$A$40,0),MATCH($N$2,'01_All_Raw_Data'!$B$17:$P$17,0)+MATCH(P$3,'01_All_Raw_Data'!$B$18:$D$18,0)-1)</f>
        <v>1.2187076092047715</v>
      </c>
    </row>
    <row r="18" spans="1:16" x14ac:dyDescent="0.2">
      <c r="B18" s="34"/>
    </row>
    <row r="19" spans="1:16" x14ac:dyDescent="0.2">
      <c r="A19" s="5" t="s">
        <v>153</v>
      </c>
      <c r="B19" s="44">
        <v>2025</v>
      </c>
      <c r="C19" s="44"/>
      <c r="D19" s="44"/>
      <c r="E19" s="44">
        <v>2024</v>
      </c>
      <c r="F19" s="44"/>
      <c r="G19" s="44"/>
      <c r="H19" s="44">
        <v>2023</v>
      </c>
      <c r="I19" s="44"/>
      <c r="J19" s="44"/>
      <c r="K19" s="44">
        <v>2022</v>
      </c>
      <c r="L19" s="44"/>
      <c r="M19" s="44"/>
      <c r="N19" s="44">
        <v>2021</v>
      </c>
      <c r="O19" s="44"/>
      <c r="P19" s="44"/>
    </row>
    <row r="20" spans="1:16" x14ac:dyDescent="0.2">
      <c r="A20" s="5" t="s">
        <v>197</v>
      </c>
      <c r="B20" s="13" t="s">
        <v>150</v>
      </c>
      <c r="C20" s="14" t="s">
        <v>151</v>
      </c>
      <c r="D20" s="14" t="s">
        <v>152</v>
      </c>
      <c r="E20" s="13" t="s">
        <v>150</v>
      </c>
      <c r="F20" s="14" t="s">
        <v>151</v>
      </c>
      <c r="G20" s="13" t="s">
        <v>152</v>
      </c>
      <c r="H20" s="14" t="s">
        <v>150</v>
      </c>
      <c r="I20" s="13" t="s">
        <v>151</v>
      </c>
      <c r="J20" s="13" t="s">
        <v>152</v>
      </c>
      <c r="K20" s="14" t="s">
        <v>150</v>
      </c>
      <c r="L20" s="13" t="s">
        <v>151</v>
      </c>
      <c r="M20" s="13" t="s">
        <v>152</v>
      </c>
      <c r="N20" s="14" t="s">
        <v>150</v>
      </c>
      <c r="O20" s="14" t="s">
        <v>151</v>
      </c>
      <c r="P20" s="14" t="s">
        <v>152</v>
      </c>
    </row>
    <row r="21" spans="1:16" x14ac:dyDescent="0.2">
      <c r="A21" s="1" t="s">
        <v>181</v>
      </c>
      <c r="B21" s="31" cm="1">
        <f t="array" ref="B21">INDEX('02_Common_Size_IS_BS'!$B$4:$P$15,MATCH("Net profit",'02_Common_Size_IS_BS'!$A$4:$A$15,0),MATCH(B$2,'02_Common_Size_IS_BS'!$B$2:$P$2,0)+MATCH(B$3,'02_Common_Size_IS_BS'!$B$3:$D$3,0)-1)</f>
        <v>3.9744952178533473E-2</v>
      </c>
      <c r="C21" s="31" cm="1">
        <f t="array" ref="C21">INDEX('02_Common_Size_IS_BS'!$B$4:$P$15,MATCH("Net profit",'02_Common_Size_IS_BS'!$A$4:$A$15,0),MATCH(B$2,'02_Common_Size_IS_BS'!$B$2:$P$2,0)+MATCH(C$3,'02_Common_Size_IS_BS'!$B$3:$D$3,0)-1)</f>
        <v>4.0320994750934092E-2</v>
      </c>
      <c r="D21" s="31" cm="1">
        <f t="array" ref="D21">INDEX('02_Common_Size_IS_BS'!$B$4:$P$15,MATCH("Net profit",'02_Common_Size_IS_BS'!$A$4:$A$15,0),MATCH(B$2,'02_Common_Size_IS_BS'!$B$2:$P$2,0)+MATCH(D$3,'02_Common_Size_IS_BS'!$B$3:$D$3,0)-1)</f>
        <v>2.1449894847365591E-2</v>
      </c>
      <c r="E21" s="31" cm="1">
        <f t="array" ref="E21">INDEX('02_Common_Size_IS_BS'!$B$4:$P$15,MATCH("Net profit",'02_Common_Size_IS_BS'!$A$4:$A$15,0),MATCH($E$2,'02_Common_Size_IS_BS'!$B$2:$P$2,0)+MATCH(E$3,'02_Common_Size_IS_BS'!$B$3:$D$3,0)-1)</f>
        <v>3.3460884757446567E-2</v>
      </c>
      <c r="F21" s="31" cm="1">
        <f t="array" ref="F21">INDEX('02_Common_Size_IS_BS'!$B$4:$P$15,MATCH("Net profit",'02_Common_Size_IS_BS'!$A$4:$A$15,0),MATCH($E$2,'02_Common_Size_IS_BS'!$B$2:$P$2,0)+MATCH(F$3,'02_Common_Size_IS_BS'!$B$3:$D$3,0)-1)</f>
        <v>7.1493330769125105E-2</v>
      </c>
      <c r="G21" s="31" cm="1">
        <f t="array" ref="G21">INDEX('02_Common_Size_IS_BS'!$B$4:$P$15,MATCH("Net profit",'02_Common_Size_IS_BS'!$A$4:$A$15,0),MATCH($E$2,'02_Common_Size_IS_BS'!$B$2:$P$2,0)+MATCH(G$3,'02_Common_Size_IS_BS'!$B$3:$D$3,0)-1)</f>
        <v>3.8178872406485632E-2</v>
      </c>
      <c r="H21" s="31" cm="1">
        <f t="array" ref="H21">INDEX('02_Common_Size_IS_BS'!$B$4:$P$15,MATCH("Net profit",'02_Common_Size_IS_BS'!$A$4:$A$15,0),MATCH($H$2,'02_Common_Size_IS_BS'!$B$2:$P$2,0)+MATCH(H$3,'02_Common_Size_IS_BS'!$B$3:$D$3,0)-1)</f>
        <v>4.0473144594619648E-2</v>
      </c>
      <c r="I21" s="31" cm="1">
        <f t="array" ref="I21">INDEX('02_Common_Size_IS_BS'!$B$4:$P$15,MATCH("Net profit",'02_Common_Size_IS_BS'!$A$4:$A$15,0),MATCH($H$2,'02_Common_Size_IS_BS'!$B$2:$P$2,0)+MATCH(I$3,'02_Common_Size_IS_BS'!$B$3:$D$3,0)-1)</f>
        <v>9.4838726520382721E-2</v>
      </c>
      <c r="J21" s="31" cm="1">
        <f t="array" ref="J21">INDEX('02_Common_Size_IS_BS'!$B$4:$P$15,MATCH("Net profit",'02_Common_Size_IS_BS'!$A$4:$A$15,0),MATCH($H$2,'02_Common_Size_IS_BS'!$B$2:$P$2,0)+MATCH(J$3,'02_Common_Size_IS_BS'!$B$3:$D$3,0)-1)</f>
        <v>5.5627955467848232E-2</v>
      </c>
      <c r="K21" s="31" cm="1">
        <f t="array" ref="K21">INDEX('02_Common_Size_IS_BS'!$B$4:$P$15,MATCH("Net profit",'02_Common_Size_IS_BS'!$A$4:$A$15,0),MATCH($K$2,'02_Common_Size_IS_BS'!$B$2:$P$2,0)+MATCH(K$3,'02_Common_Size_IS_BS'!$B$3:$D$3,0)-1)</f>
        <v>6.3871992874998729E-2</v>
      </c>
      <c r="L21" s="31" cm="1">
        <f t="array" ref="L21">INDEX('02_Common_Size_IS_BS'!$B$4:$P$15,MATCH("Net profit",'02_Common_Size_IS_BS'!$A$4:$A$15,0),MATCH($K$2,'02_Common_Size_IS_BS'!$B$2:$P$2,0)+MATCH(L$3,'02_Common_Size_IS_BS'!$B$3:$D$3,0)-1)</f>
        <v>9.8715478912389923E-2</v>
      </c>
      <c r="M21" s="31" cm="1">
        <f t="array" ref="M21">INDEX('02_Common_Size_IS_BS'!$B$4:$P$15,MATCH("Net profit",'02_Common_Size_IS_BS'!$A$4:$A$15,0),MATCH($K$2,'02_Common_Size_IS_BS'!$B$2:$P$2,0)+MATCH(M$3,'02_Common_Size_IS_BS'!$B$3:$D$3,0)-1)</f>
        <v>5.6814191005196205E-2</v>
      </c>
      <c r="N21" s="31" cm="1">
        <f t="array" ref="N21">INDEX('02_Common_Size_IS_BS'!$B$4:$P$15,MATCH("Net profit",'02_Common_Size_IS_BS'!$A$4:$A$15,0),MATCH($N$2,'02_Common_Size_IS_BS'!$B$2:$P$2,0)+MATCH(N$3,'02_Common_Size_IS_BS'!$B$3:$D$3,0)-1)</f>
        <v>5.5463931500350179E-2</v>
      </c>
      <c r="O21" s="31" cm="1">
        <f t="array" ref="O21">INDEX('02_Common_Size_IS_BS'!$B$4:$P$15,MATCH("Net profit",'02_Common_Size_IS_BS'!$A$4:$A$15,0),MATCH($N$2,'02_Common_Size_IS_BS'!$B$2:$P$2,0)+MATCH(O$3,'02_Common_Size_IS_BS'!$B$3:$D$3,0)-1)</f>
        <v>0.17473654335924954</v>
      </c>
      <c r="P21" s="31" cm="1">
        <f t="array" ref="P21">INDEX('02_Common_Size_IS_BS'!$B$4:$P$15,MATCH("Net profit",'02_Common_Size_IS_BS'!$A$4:$A$15,0),MATCH($N$2,'02_Common_Size_IS_BS'!$B$2:$P$2,0)+MATCH(P$3,'02_Common_Size_IS_BS'!$B$3:$D$3,0)-1)</f>
        <v>6.1658673061550762E-2</v>
      </c>
    </row>
    <row r="22" spans="1:16" x14ac:dyDescent="0.2">
      <c r="A22" s="1" t="s">
        <v>185</v>
      </c>
      <c r="B22" s="30" cm="1">
        <f t="array" ref="B22">INDEX('01_All_Raw_Data'!$B$4:$P$15,MATCH("Revenues",'01_All_Raw_Data'!$A$4:$A$15,0),MATCH($B$2,'01_All_Raw_Data'!$B$2:$P$2,0)+MATCH(B$3,'01_All_Raw_Data'!$B$3:$D$3,0)-1)/INDEX('01_All_Raw_Data'!$B:$P,MATCH("Average Assets",'01_All_Raw_Data'!$A:$A,0),MATCH($B$2,'01_All_Raw_Data'!$B$17:$P$17,0)+MATCH(B$3,'01_All_Raw_Data'!$B$18:$D$18,0)-1)</f>
        <v>1.4498378552876785</v>
      </c>
      <c r="C22" s="30" cm="1">
        <f t="array" ref="C22">INDEX('01_All_Raw_Data'!$B$4:$P$15,MATCH("Revenues",'01_All_Raw_Data'!$A$4:$A$15,0),MATCH($B$2,'01_All_Raw_Data'!$B$2:$P$2,0)+MATCH(C$3,'01_All_Raw_Data'!$B$3:$D$3,0)-1)/INDEX('01_All_Raw_Data'!$B:$P,MATCH("Average Assets",'01_All_Raw_Data'!$A:$A,0),MATCH($B$2,'01_All_Raw_Data'!$B$17:$P$17,0)+MATCH(C$3,'01_All_Raw_Data'!$B$18:$D$18,0)-1)</f>
        <v>0.50805032316571752</v>
      </c>
      <c r="D22" s="30" cm="1">
        <f t="array" ref="D22">INDEX('01_All_Raw_Data'!$B$4:$P$15,MATCH("Revenues",'01_All_Raw_Data'!$A$4:$A$15,0),MATCH($B$2,'01_All_Raw_Data'!$B$2:$P$2,0)+MATCH(D$3,'01_All_Raw_Data'!$B$3:$D$3,0)-1)/INDEX('01_All_Raw_Data'!$B:$P,MATCH("Average Assets",'01_All_Raw_Data'!$A:$A,0),MATCH($B$2,'01_All_Raw_Data'!$B$17:$P$17,0)+MATCH(D$3,'01_All_Raw_Data'!$B$18:$D$18,0)-1)</f>
        <v>0.50402388654205665</v>
      </c>
      <c r="E22" s="30" cm="1">
        <f t="array" ref="E22">INDEX('01_All_Raw_Data'!$B$4:$P$15,MATCH("Revenues",'01_All_Raw_Data'!$A$4:$A$15,0),MATCH($E$2,'01_All_Raw_Data'!$B$2:$P$2,0)+MATCH(E$3,'01_All_Raw_Data'!$B$3:$D$3,0)-1)/INDEX('01_All_Raw_Data'!$B:$P,MATCH("Average Assets",'01_All_Raw_Data'!$A:$A,0),MATCH($E$2,'01_All_Raw_Data'!$B$17:$P$17,0)+MATCH(E$3,'01_All_Raw_Data'!$B$18:$D$18,0)-1)</f>
        <v>1.5672872300846763</v>
      </c>
      <c r="F22" s="30" cm="1">
        <f t="array" ref="F22">INDEX('01_All_Raw_Data'!$B$4:$P$15,MATCH("Revenues",'01_All_Raw_Data'!$A$4:$A$15,0),MATCH($E$2,'01_All_Raw_Data'!$B$2:$P$2,0)+MATCH(F$3,'01_All_Raw_Data'!$B$3:$D$3,0)-1)/INDEX('01_All_Raw_Data'!$B:$P,MATCH("Average Assets",'01_All_Raw_Data'!$A:$A,0),MATCH($E$2,'01_All_Raw_Data'!$B$17:$P$17,0)+MATCH(F$3,'01_All_Raw_Data'!$B$18:$D$18,0)-1)</f>
        <v>0.55145900248469792</v>
      </c>
      <c r="G22" s="30" cm="1">
        <f t="array" ref="G22">INDEX('01_All_Raw_Data'!$B$4:$P$15,MATCH("Revenues",'01_All_Raw_Data'!$A$4:$A$15,0),MATCH($E$2,'01_All_Raw_Data'!$B$2:$P$2,0)+MATCH(G$3,'01_All_Raw_Data'!$B$3:$D$3,0)-1)/INDEX('01_All_Raw_Data'!$B:$P,MATCH("Average Assets",'01_All_Raw_Data'!$A:$A,0),MATCH($E$2,'01_All_Raw_Data'!$B$17:$P$17,0)+MATCH(G$3,'01_All_Raw_Data'!$B$18:$D$18,0)-1)</f>
        <v>0.52650775232456215</v>
      </c>
      <c r="H22" s="30" cm="1">
        <f t="array" ref="H22">INDEX('01_All_Raw_Data'!$B$4:$P$15,MATCH("Revenues",'01_All_Raw_Data'!$A$4:$A$15,0),MATCH($H$2,'01_All_Raw_Data'!$B$2:$P$2,0)+MATCH(H$3,'01_All_Raw_Data'!$B$3:$D$3,0)-1)/INDEX('01_All_Raw_Data'!$B:$P,MATCH("Average Assets",'01_All_Raw_Data'!$A:$A,0),MATCH($H$2,'01_All_Raw_Data'!$B$17:$P$17,0)+MATCH(H$3,'01_All_Raw_Data'!$B$18:$D$18,0)-1)</f>
        <v>1.5403199897192059</v>
      </c>
      <c r="I22" s="30" cm="1">
        <f t="array" ref="I22">INDEX('01_All_Raw_Data'!$B$4:$P$15,MATCH("Revenues",'01_All_Raw_Data'!$A$4:$A$15,0),MATCH($H$2,'01_All_Raw_Data'!$B$2:$P$2,0)+MATCH(I$3,'01_All_Raw_Data'!$B$3:$D$3,0)-1)/INDEX('01_All_Raw_Data'!$B:$P,MATCH("Average Assets",'01_All_Raw_Data'!$A:$A,0),MATCH($H$2,'01_All_Raw_Data'!$B$17:$P$17,0)+MATCH(I$3,'01_All_Raw_Data'!$B$18:$D$18,0)-1)</f>
        <v>0.58587824570728264</v>
      </c>
      <c r="J22" s="30" cm="1">
        <f t="array" ref="J22">INDEX('01_All_Raw_Data'!$B$4:$P$15,MATCH("Revenues",'01_All_Raw_Data'!$A$4:$A$15,0),MATCH($H$2,'01_All_Raw_Data'!$B$2:$P$2,0)+MATCH(J$3,'01_All_Raw_Data'!$B$3:$D$3,0)-1)/INDEX('01_All_Raw_Data'!$B:$P,MATCH("Average Assets",'01_All_Raw_Data'!$A:$A,0),MATCH($H$2,'01_All_Raw_Data'!$B$17:$P$17,0)+MATCH(J$3,'01_All_Raw_Data'!$B$18:$D$18,0)-1)</f>
        <v>0.55358564556564127</v>
      </c>
      <c r="K22" s="30" cm="1">
        <f t="array" ref="K22">INDEX('01_All_Raw_Data'!$B$4:$P$15,MATCH("Revenues",'01_All_Raw_Data'!$A$4:$A$15,0),MATCH($K$2,'01_All_Raw_Data'!$B$2:$P$2,0)+MATCH(K$3,'01_All_Raw_Data'!$B$3:$D$3,0)-1)/INDEX('01_All_Raw_Data'!$B:$P,MATCH("Average Assets",'01_All_Raw_Data'!$A:$A,0),MATCH($K$2,'01_All_Raw_Data'!$B$17:$P$17,0)+MATCH(K$3,'01_All_Raw_Data'!$B$18:$D$18,0)-1)</f>
        <v>1.4429856587901977</v>
      </c>
      <c r="L22" s="30" cm="1">
        <f t="array" ref="L22">INDEX('01_All_Raw_Data'!$B$4:$P$15,MATCH("Revenues",'01_All_Raw_Data'!$A$4:$A$15,0),MATCH($K$2,'01_All_Raw_Data'!$B$2:$P$2,0)+MATCH(L$3,'01_All_Raw_Data'!$B$3:$D$3,0)-1)/INDEX('01_All_Raw_Data'!$B:$P,MATCH("Average Assets",'01_All_Raw_Data'!$A:$A,0),MATCH($K$2,'01_All_Raw_Data'!$B$17:$P$17,0)+MATCH(L$3,'01_All_Raw_Data'!$B$18:$D$18,0)-1)</f>
        <v>0.57715938951150914</v>
      </c>
      <c r="M22" s="30" cm="1">
        <f t="array" ref="M22">INDEX('01_All_Raw_Data'!$B$4:$P$15,MATCH("Revenues",'01_All_Raw_Data'!$A$4:$A$15,0),MATCH($K$2,'01_All_Raw_Data'!$B$2:$P$2,0)+MATCH(M$3,'01_All_Raw_Data'!$B$3:$D$3,0)-1)/INDEX('01_All_Raw_Data'!$B:$P,MATCH("Average Assets",'01_All_Raw_Data'!$A:$A,0),MATCH($K$2,'01_All_Raw_Data'!$B$17:$P$17,0)+MATCH(M$3,'01_All_Raw_Data'!$B$18:$D$18,0)-1)</f>
        <v>0.51078964179743769</v>
      </c>
      <c r="N22" s="30" cm="1">
        <f t="array" ref="N22">INDEX('01_All_Raw_Data'!$B$4:$P$15,MATCH("Revenues",'01_All_Raw_Data'!$A$4:$A$15,0),MATCH($N$2,'01_All_Raw_Data'!$B$2:$P$2,0)+MATCH(N$3,'01_All_Raw_Data'!$B$3:$D$3,0)-1)/INDEX('01_All_Raw_Data'!$B:$P,MATCH("Average Assets",'01_All_Raw_Data'!$A:$A,0),MATCH($N$2,'01_All_Raw_Data'!$B$17:$P$17,0)+MATCH(N$3,'01_All_Raw_Data'!$B$18:$D$18,0)-1)</f>
        <v>1.4471535412154155</v>
      </c>
      <c r="O22" s="30" cm="1">
        <f t="array" ref="O22">INDEX('01_All_Raw_Data'!$B$4:$P$15,MATCH("Revenues",'01_All_Raw_Data'!$A$4:$A$15,0),MATCH($N$2,'01_All_Raw_Data'!$B$2:$P$2,0)+MATCH(O$3,'01_All_Raw_Data'!$B$3:$D$3,0)-1)/INDEX('01_All_Raw_Data'!$B:$P,MATCH("Average Assets",'01_All_Raw_Data'!$A:$A,0),MATCH($N$2,'01_All_Raw_Data'!$B$17:$P$17,0)+MATCH(O$3,'01_All_Raw_Data'!$B$18:$D$18,0)-1)</f>
        <v>0.49083890550765441</v>
      </c>
      <c r="P22" s="30" cm="1">
        <f t="array" ref="P22">INDEX('01_All_Raw_Data'!$B$4:$P$15,MATCH("Revenues",'01_All_Raw_Data'!$A$4:$A$15,0),MATCH($N$2,'01_All_Raw_Data'!$B$2:$P$2,0)+MATCH(P$3,'01_All_Raw_Data'!$B$3:$D$3,0)-1)/INDEX('01_All_Raw_Data'!$B:$P,MATCH("Average Assets",'01_All_Raw_Data'!$A:$A,0),MATCH($N$2,'01_All_Raw_Data'!$B$17:$P$17,0)+MATCH(P$3,'01_All_Raw_Data'!$B$18:$D$18,0)-1)</f>
        <v>0.487851008508145</v>
      </c>
    </row>
    <row r="23" spans="1:16" x14ac:dyDescent="0.2">
      <c r="A23" s="1" t="s">
        <v>187</v>
      </c>
      <c r="B23" s="32" cm="1">
        <f t="array" ref="B23">1/INDEX('02_Common_Size_IS_BS'!$B$33:$P$41,MATCH("Total Equity",'02_Common_Size_IS_BS'!$A$33:$A$41,0),MATCH($B$2,'02_Common_Size_IS_BS'!$B$19:$P$19,0)+MATCH(B$3,'02_Common_Size_IS_BS'!$B$20:$D$20,0)-1)</f>
        <v>4.1623686723973261</v>
      </c>
      <c r="C23" s="32" cm="1">
        <f t="array" ref="C23">1/INDEX('02_Common_Size_IS_BS'!$B$33:$P$41,MATCH("Total Equity",'02_Common_Size_IS_BS'!$A$33:$A$41,0),MATCH($B$2,'02_Common_Size_IS_BS'!$B$19:$P$19,0)+MATCH(C$3,'02_Common_Size_IS_BS'!$B$20:$D$20,0)-1)</f>
        <v>2.7108022071307301</v>
      </c>
      <c r="D23" s="32" cm="1">
        <f t="array" ref="D23">1/INDEX('02_Common_Size_IS_BS'!$B$33:$P$41,MATCH("Total Equity",'02_Common_Size_IS_BS'!$A$33:$A$41,0),MATCH($B$2,'02_Common_Size_IS_BS'!$B$19:$P$19,0)+MATCH(D$3,'02_Common_Size_IS_BS'!$B$20:$D$20,0)-1)</f>
        <v>3.1738700050232942</v>
      </c>
      <c r="E23" s="32" cm="1">
        <f t="array" ref="E23">1/INDEX('02_Common_Size_IS_BS'!$B$33:$P$41,MATCH("Total Equity",'02_Common_Size_IS_BS'!$A$33:$A$41,0),MATCH($E$2,'02_Common_Size_IS_BS'!$B$19:$P$19,0)+MATCH(E$3,'02_Common_Size_IS_BS'!$B$20:$D$20,0)-1)</f>
        <v>3.9922038980509749</v>
      </c>
      <c r="F23" s="32" cm="1">
        <f t="array" ref="F23">1/INDEX('02_Common_Size_IS_BS'!$B$33:$P$41,MATCH("Total Equity",'02_Common_Size_IS_BS'!$A$33:$A$41,0),MATCH($E$2,'02_Common_Size_IS_BS'!$B$19:$P$19,0)+MATCH(F$3,'02_Common_Size_IS_BS'!$B$20:$D$20,0)-1)</f>
        <v>2.8303962405212006</v>
      </c>
      <c r="G23" s="32" cm="1">
        <f t="array" ref="G23">1/INDEX('02_Common_Size_IS_BS'!$B$33:$P$41,MATCH("Total Equity",'02_Common_Size_IS_BS'!$A$33:$A$41,0),MATCH($E$2,'02_Common_Size_IS_BS'!$B$19:$P$19,0)+MATCH(G$3,'02_Common_Size_IS_BS'!$B$20:$D$20,0)-1)</f>
        <v>3.2171086407327771</v>
      </c>
      <c r="H23" s="32" cm="1">
        <f t="array" ref="H23">1/INDEX('02_Common_Size_IS_BS'!$B$33:$P$41,MATCH("Total Equity",'02_Common_Size_IS_BS'!$A$33:$A$41,0),MATCH($H$2,'02_Common_Size_IS_BS'!$B$19:$P$19,0)+MATCH(H$3,'02_Common_Size_IS_BS'!$B$20:$D$20,0)-1)</f>
        <v>3.7822886459959846</v>
      </c>
      <c r="I23" s="32" cm="1">
        <f t="array" ref="I23">1/INDEX('02_Common_Size_IS_BS'!$B$33:$P$41,MATCH("Total Equity",'02_Common_Size_IS_BS'!$A$33:$A$41,0),MATCH($H$2,'02_Common_Size_IS_BS'!$B$19:$P$19,0)+MATCH(I$3,'02_Common_Size_IS_BS'!$B$20:$D$20,0)-1)</f>
        <v>2.8338002068608859</v>
      </c>
      <c r="J23" s="32" cm="1">
        <f t="array" ref="J23">1/INDEX('02_Common_Size_IS_BS'!$B$33:$P$41,MATCH("Total Equity",'02_Common_Size_IS_BS'!$A$33:$A$41,0),MATCH($H$2,'02_Common_Size_IS_BS'!$B$19:$P$19,0)+MATCH(J$3,'02_Common_Size_IS_BS'!$B$20:$D$20,0)-1)</f>
        <v>3.161137790134378</v>
      </c>
      <c r="K23" s="32" cm="1">
        <f t="array" ref="K23">1/INDEX('02_Common_Size_IS_BS'!$B$33:$P$41,MATCH("Total Equity",'02_Common_Size_IS_BS'!$A$33:$A$41,0),MATCH($K$2,'02_Common_Size_IS_BS'!$B$19:$P$19,0)+MATCH(K$3,'02_Common_Size_IS_BS'!$B$20:$D$20,0)-1)</f>
        <v>3.5732020971411611</v>
      </c>
      <c r="L23" s="32" cm="1">
        <f t="array" ref="L23">1/INDEX('02_Common_Size_IS_BS'!$B$33:$P$41,MATCH("Total Equity",'02_Common_Size_IS_BS'!$A$33:$A$41,0),MATCH($K$2,'02_Common_Size_IS_BS'!$B$19:$P$19,0)+MATCH(L$3,'02_Common_Size_IS_BS'!$B$20:$D$20,0)-1)</f>
        <v>3.0045643633002084</v>
      </c>
      <c r="M23" s="32" cm="1">
        <f t="array" ref="M23">1/INDEX('02_Common_Size_IS_BS'!$B$33:$P$41,MATCH("Total Equity",'02_Common_Size_IS_BS'!$A$33:$A$41,0),MATCH($K$2,'02_Common_Size_IS_BS'!$B$19:$P$19,0)+MATCH(M$3,'02_Common_Size_IS_BS'!$B$20:$D$20,0)-1)</f>
        <v>3.162784307568077</v>
      </c>
      <c r="N23" s="32" cm="1">
        <f t="array" ref="N23">1/INDEX('02_Common_Size_IS_BS'!$B$33:$P$41,MATCH("Total Equity",'02_Common_Size_IS_BS'!$A$33:$A$41,0),MATCH($N$2,'02_Common_Size_IS_BS'!$B$19:$P$19,0)+MATCH(N$3,'02_Common_Size_IS_BS'!$B$20:$D$20,0)-1)</f>
        <v>3.4186611718708724</v>
      </c>
      <c r="O23" s="32" cm="1">
        <f t="array" ref="O23">1/INDEX('02_Common_Size_IS_BS'!$B$33:$P$41,MATCH("Total Equity",'02_Common_Size_IS_BS'!$A$33:$A$41,0),MATCH($N$2,'02_Common_Size_IS_BS'!$B$19:$P$19,0)+MATCH(O$3,'02_Common_Size_IS_BS'!$B$20:$D$20,0)-1)</f>
        <v>3.5512047781103502</v>
      </c>
      <c r="P23" s="32" cm="1">
        <f t="array" ref="P23">1/INDEX('02_Common_Size_IS_BS'!$B$33:$P$41,MATCH("Total Equity",'02_Common_Size_IS_BS'!$A$33:$A$41,0),MATCH($N$2,'02_Common_Size_IS_BS'!$B$19:$P$19,0)+MATCH(P$3,'02_Common_Size_IS_BS'!$B$20:$D$20,0)-1)</f>
        <v>3.6167946139004066</v>
      </c>
    </row>
    <row r="24" spans="1:16" x14ac:dyDescent="0.2">
      <c r="A24" s="5" t="s">
        <v>198</v>
      </c>
    </row>
    <row r="25" spans="1:16" x14ac:dyDescent="0.2">
      <c r="A25" s="1" t="s">
        <v>199</v>
      </c>
      <c r="B25" s="30">
        <f>B21*B22*B23</f>
        <v>0.23985123444957812</v>
      </c>
      <c r="C25" s="30">
        <f t="shared" ref="C25:P25" si="1">C21*C22*C23</f>
        <v>5.5531039149601218E-2</v>
      </c>
      <c r="D25" s="30">
        <f t="shared" si="1"/>
        <v>3.4313531821091814E-2</v>
      </c>
      <c r="E25" s="30">
        <f t="shared" si="1"/>
        <v>0.20936241999987551</v>
      </c>
      <c r="F25" s="30">
        <f t="shared" si="1"/>
        <v>0.11159018569929542</v>
      </c>
      <c r="G25" s="30">
        <f t="shared" si="1"/>
        <v>6.4668620218209669E-2</v>
      </c>
      <c r="H25" s="30">
        <f t="shared" si="1"/>
        <v>0.23579390189578514</v>
      </c>
      <c r="I25" s="30">
        <f t="shared" si="1"/>
        <v>0.15745712370595399</v>
      </c>
      <c r="J25" s="30">
        <f t="shared" si="1"/>
        <v>9.7346725002218623E-2</v>
      </c>
      <c r="K25" s="30">
        <f t="shared" si="1"/>
        <v>0.329329065558575</v>
      </c>
      <c r="L25" s="30">
        <f t="shared" si="1"/>
        <v>0.17118374924924989</v>
      </c>
      <c r="M25" s="30">
        <f t="shared" si="1"/>
        <v>9.1784317746090208E-2</v>
      </c>
      <c r="N25" s="30">
        <f t="shared" si="1"/>
        <v>0.27439824028584714</v>
      </c>
      <c r="O25" s="30">
        <f t="shared" si="1"/>
        <v>0.30457793341497208</v>
      </c>
      <c r="P25" s="30">
        <f t="shared" si="1"/>
        <v>0.10879407112571635</v>
      </c>
    </row>
  </sheetData>
  <mergeCells count="10">
    <mergeCell ref="B19:D19"/>
    <mergeCell ref="E19:G19"/>
    <mergeCell ref="H19:J19"/>
    <mergeCell ref="K19:M19"/>
    <mergeCell ref="N19:P19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6BAD-F658-41DF-B7D0-050357FCC70A}">
  <sheetPr>
    <tabColor rgb="FF002060"/>
  </sheetPr>
  <dimension ref="A2:F20"/>
  <sheetViews>
    <sheetView workbookViewId="0">
      <selection activeCell="B26" sqref="B26"/>
    </sheetView>
  </sheetViews>
  <sheetFormatPr defaultRowHeight="12.75" x14ac:dyDescent="0.2"/>
  <cols>
    <col min="1" max="1" width="16.42578125" style="1" bestFit="1" customWidth="1"/>
    <col min="2" max="6" width="7.28515625" style="1" bestFit="1" customWidth="1"/>
    <col min="7" max="16384" width="9.140625" style="1"/>
  </cols>
  <sheetData>
    <row r="2" spans="1:6" x14ac:dyDescent="0.2">
      <c r="A2" s="5" t="s">
        <v>181</v>
      </c>
      <c r="B2" s="28">
        <v>2021</v>
      </c>
      <c r="C2" s="28">
        <v>2022</v>
      </c>
      <c r="D2" s="28">
        <v>2023</v>
      </c>
      <c r="E2" s="28">
        <v>2024</v>
      </c>
      <c r="F2" s="28">
        <v>2025</v>
      </c>
    </row>
    <row r="3" spans="1:6" x14ac:dyDescent="0.2">
      <c r="A3" s="1" t="s">
        <v>150</v>
      </c>
      <c r="B3" s="31" cm="1">
        <f t="array" ref="B3">INDEX('03_Ratios'!$B$21:$P$25, MATCH("Net Profit Margin",'03_Ratios'!$A$21:$A$25,0), MATCH(B$2,'03_Ratios'!$B$19:$P$19,0)+MATCH($A3,'03_Ratios'!$B$20:$D$20,0)-1)</f>
        <v>5.5463931500350179E-2</v>
      </c>
      <c r="C3" s="31" cm="1">
        <f t="array" ref="C3">INDEX('03_Ratios'!$B$21:$P$25, MATCH("Net Profit Margin",'03_Ratios'!$A$21:$A$25,0), MATCH(C$2,'03_Ratios'!$B$19:$P$19,0)+MATCH($A3,'03_Ratios'!$B$20:$D$20,0)-1)</f>
        <v>6.3871992874998729E-2</v>
      </c>
      <c r="D3" s="31" cm="1">
        <f t="array" ref="D3">INDEX('03_Ratios'!$B$21:$P$25, MATCH("Net Profit Margin",'03_Ratios'!$A$21:$A$25,0), MATCH(D$2,'03_Ratios'!$B$19:$P$19,0)+MATCH($A3,'03_Ratios'!$B$20:$D$20,0)-1)</f>
        <v>4.0473144594619648E-2</v>
      </c>
      <c r="E3" s="31" cm="1">
        <f t="array" ref="E3">INDEX('03_Ratios'!$B$21:$P$25, MATCH("Net Profit Margin",'03_Ratios'!$A$21:$A$25,0), MATCH(E$2,'03_Ratios'!$B$19:$P$19,0)+MATCH($A3,'03_Ratios'!$B$20:$D$20,0)-1)</f>
        <v>3.3460884757446567E-2</v>
      </c>
      <c r="F3" s="31" cm="1">
        <f t="array" ref="F3">INDEX('03_Ratios'!$B$21:$P$25, MATCH("Net Profit Margin",'03_Ratios'!$A$21:$A$25,0), MATCH(F$2,'03_Ratios'!$B$19:$P$19,0)+MATCH($A3,'03_Ratios'!$B$20:$D$20,0)-1)</f>
        <v>3.9744952178533473E-2</v>
      </c>
    </row>
    <row r="4" spans="1:6" x14ac:dyDescent="0.2">
      <c r="A4" s="1" t="s">
        <v>151</v>
      </c>
      <c r="B4" s="31" cm="1">
        <f t="array" ref="B4">INDEX('03_Ratios'!$B$21:$P$25, MATCH("Net Profit Margin",'03_Ratios'!$A$21:$A$25,0), MATCH(B$2,'03_Ratios'!$B$19:$P$19,0)+MATCH($A4,'03_Ratios'!$B$20:$D$20,0)-1)</f>
        <v>0.17473654335924954</v>
      </c>
      <c r="C4" s="31" cm="1">
        <f t="array" ref="C4">INDEX('03_Ratios'!$B$21:$P$25, MATCH("Net Profit Margin",'03_Ratios'!$A$21:$A$25,0), MATCH(C$2,'03_Ratios'!$B$19:$P$19,0)+MATCH($A4,'03_Ratios'!$B$20:$D$20,0)-1)</f>
        <v>9.8715478912389923E-2</v>
      </c>
      <c r="D4" s="31" cm="1">
        <f t="array" ref="D4">INDEX('03_Ratios'!$B$21:$P$25, MATCH("Net Profit Margin",'03_Ratios'!$A$21:$A$25,0), MATCH(D$2,'03_Ratios'!$B$19:$P$19,0)+MATCH($A4,'03_Ratios'!$B$20:$D$20,0)-1)</f>
        <v>9.4838726520382721E-2</v>
      </c>
      <c r="E4" s="31" cm="1">
        <f t="array" ref="E4">INDEX('03_Ratios'!$B$21:$P$25, MATCH("Net Profit Margin",'03_Ratios'!$A$21:$A$25,0), MATCH(E$2,'03_Ratios'!$B$19:$P$19,0)+MATCH($A4,'03_Ratios'!$B$20:$D$20,0)-1)</f>
        <v>7.1493330769125105E-2</v>
      </c>
      <c r="F4" s="31" cm="1">
        <f t="array" ref="F4">INDEX('03_Ratios'!$B$21:$P$25, MATCH("Net Profit Margin",'03_Ratios'!$A$21:$A$25,0), MATCH(F$2,'03_Ratios'!$B$19:$P$19,0)+MATCH($A4,'03_Ratios'!$B$20:$D$20,0)-1)</f>
        <v>4.0320994750934092E-2</v>
      </c>
    </row>
    <row r="5" spans="1:6" x14ac:dyDescent="0.2">
      <c r="A5" s="1" t="s">
        <v>152</v>
      </c>
      <c r="B5" s="31" cm="1">
        <f t="array" ref="B5">INDEX('03_Ratios'!$B$21:$P$25, MATCH("Net Profit Margin",'03_Ratios'!$A$21:$A$25,0), MATCH(B$2,'03_Ratios'!$B$19:$P$19,0)+MATCH($A5,'03_Ratios'!$B$20:$D$20,0)-1)</f>
        <v>6.1658673061550762E-2</v>
      </c>
      <c r="C5" s="31" cm="1">
        <f t="array" ref="C5">INDEX('03_Ratios'!$B$21:$P$25, MATCH("Net Profit Margin",'03_Ratios'!$A$21:$A$25,0), MATCH(C$2,'03_Ratios'!$B$19:$P$19,0)+MATCH($A5,'03_Ratios'!$B$20:$D$20,0)-1)</f>
        <v>5.6814191005196205E-2</v>
      </c>
      <c r="D5" s="31" cm="1">
        <f t="array" ref="D5">INDEX('03_Ratios'!$B$21:$P$25, MATCH("Net Profit Margin",'03_Ratios'!$A$21:$A$25,0), MATCH(D$2,'03_Ratios'!$B$19:$P$19,0)+MATCH($A5,'03_Ratios'!$B$20:$D$20,0)-1)</f>
        <v>5.5627955467848232E-2</v>
      </c>
      <c r="E5" s="31" cm="1">
        <f t="array" ref="E5">INDEX('03_Ratios'!$B$21:$P$25, MATCH("Net Profit Margin",'03_Ratios'!$A$21:$A$25,0), MATCH(E$2,'03_Ratios'!$B$19:$P$19,0)+MATCH($A5,'03_Ratios'!$B$20:$D$20,0)-1)</f>
        <v>3.8178872406485632E-2</v>
      </c>
      <c r="F5" s="31" cm="1">
        <f t="array" ref="F5">INDEX('03_Ratios'!$B$21:$P$25, MATCH("Net Profit Margin",'03_Ratios'!$A$21:$A$25,0), MATCH(F$2,'03_Ratios'!$B$19:$P$19,0)+MATCH($A5,'03_Ratios'!$B$20:$D$20,0)-1)</f>
        <v>2.1449894847365591E-2</v>
      </c>
    </row>
    <row r="7" spans="1:6" x14ac:dyDescent="0.2">
      <c r="A7" s="5" t="s">
        <v>185</v>
      </c>
      <c r="B7" s="28">
        <v>2021</v>
      </c>
      <c r="C7" s="28">
        <v>2022</v>
      </c>
      <c r="D7" s="28">
        <v>2023</v>
      </c>
      <c r="E7" s="28">
        <v>2024</v>
      </c>
      <c r="F7" s="28">
        <v>2025</v>
      </c>
    </row>
    <row r="8" spans="1:6" x14ac:dyDescent="0.2">
      <c r="A8" s="1" t="s">
        <v>150</v>
      </c>
      <c r="B8" s="31" cm="1">
        <f t="array" ref="B8">INDEX('03_Ratios'!$B$21:$P$25, MATCH("Asset Turnover",'03_Ratios'!$A$21:$A$25,0), MATCH(B$2,'03_Ratios'!$B$19:$P$19,0)+MATCH($A8,'03_Ratios'!$B$20:$D$20,0)-1)</f>
        <v>1.4471535412154155</v>
      </c>
      <c r="C8" s="31" cm="1">
        <f t="array" ref="C8">INDEX('03_Ratios'!$B$21:$P$25, MATCH("Asset Turnover",'03_Ratios'!$A$21:$A$25,0), MATCH(C$2,'03_Ratios'!$B$19:$P$19,0)+MATCH($A8,'03_Ratios'!$B$20:$D$20,0)-1)</f>
        <v>1.4429856587901977</v>
      </c>
      <c r="D8" s="31" cm="1">
        <f t="array" ref="D8">INDEX('03_Ratios'!$B$21:$P$25, MATCH("Asset Turnover",'03_Ratios'!$A$21:$A$25,0), MATCH(D$2,'03_Ratios'!$B$19:$P$19,0)+MATCH($A8,'03_Ratios'!$B$20:$D$20,0)-1)</f>
        <v>1.5403199897192059</v>
      </c>
      <c r="E8" s="31" cm="1">
        <f t="array" ref="E8">INDEX('03_Ratios'!$B$21:$P$25, MATCH("Asset Turnover",'03_Ratios'!$A$21:$A$25,0), MATCH(E$2,'03_Ratios'!$B$19:$P$19,0)+MATCH($A8,'03_Ratios'!$B$20:$D$20,0)-1)</f>
        <v>1.5672872300846763</v>
      </c>
      <c r="F8" s="31" cm="1">
        <f t="array" ref="F8">INDEX('03_Ratios'!$B$21:$P$25, MATCH("Asset Turnover",'03_Ratios'!$A$21:$A$25,0), MATCH(F$2,'03_Ratios'!$B$19:$P$19,0)+MATCH($A8,'03_Ratios'!$B$20:$D$20,0)-1)</f>
        <v>1.4498378552876785</v>
      </c>
    </row>
    <row r="9" spans="1:6" x14ac:dyDescent="0.2">
      <c r="A9" s="1" t="s">
        <v>151</v>
      </c>
      <c r="B9" s="31" cm="1">
        <f t="array" ref="B9">INDEX('03_Ratios'!$B$21:$P$25, MATCH("Asset Turnover",'03_Ratios'!$A$21:$A$25,0), MATCH(B$2,'03_Ratios'!$B$19:$P$19,0)+MATCH($A9,'03_Ratios'!$B$20:$D$20,0)-1)</f>
        <v>0.49083890550765441</v>
      </c>
      <c r="C9" s="31" cm="1">
        <f t="array" ref="C9">INDEX('03_Ratios'!$B$21:$P$25, MATCH("Asset Turnover",'03_Ratios'!$A$21:$A$25,0), MATCH(C$2,'03_Ratios'!$B$19:$P$19,0)+MATCH($A9,'03_Ratios'!$B$20:$D$20,0)-1)</f>
        <v>0.57715938951150914</v>
      </c>
      <c r="D9" s="31" cm="1">
        <f t="array" ref="D9">INDEX('03_Ratios'!$B$21:$P$25, MATCH("Asset Turnover",'03_Ratios'!$A$21:$A$25,0), MATCH(D$2,'03_Ratios'!$B$19:$P$19,0)+MATCH($A9,'03_Ratios'!$B$20:$D$20,0)-1)</f>
        <v>0.58587824570728264</v>
      </c>
      <c r="E9" s="31" cm="1">
        <f t="array" ref="E9">INDEX('03_Ratios'!$B$21:$P$25, MATCH("Asset Turnover",'03_Ratios'!$A$21:$A$25,0), MATCH(E$2,'03_Ratios'!$B$19:$P$19,0)+MATCH($A9,'03_Ratios'!$B$20:$D$20,0)-1)</f>
        <v>0.55145900248469792</v>
      </c>
      <c r="F9" s="31" cm="1">
        <f t="array" ref="F9">INDEX('03_Ratios'!$B$21:$P$25, MATCH("Asset Turnover",'03_Ratios'!$A$21:$A$25,0), MATCH(F$2,'03_Ratios'!$B$19:$P$19,0)+MATCH($A9,'03_Ratios'!$B$20:$D$20,0)-1)</f>
        <v>0.50805032316571752</v>
      </c>
    </row>
    <row r="10" spans="1:6" x14ac:dyDescent="0.2">
      <c r="A10" s="1" t="s">
        <v>152</v>
      </c>
      <c r="B10" s="31" cm="1">
        <f t="array" ref="B10">INDEX('03_Ratios'!$B$21:$P$25, MATCH("Asset Turnover",'03_Ratios'!$A$21:$A$25,0), MATCH(B$2,'03_Ratios'!$B$19:$P$19,0)+MATCH($A10,'03_Ratios'!$B$20:$D$20,0)-1)</f>
        <v>0.487851008508145</v>
      </c>
      <c r="C10" s="31" cm="1">
        <f t="array" ref="C10">INDEX('03_Ratios'!$B$21:$P$25, MATCH("Asset Turnover",'03_Ratios'!$A$21:$A$25,0), MATCH(C$2,'03_Ratios'!$B$19:$P$19,0)+MATCH($A10,'03_Ratios'!$B$20:$D$20,0)-1)</f>
        <v>0.51078964179743769</v>
      </c>
      <c r="D10" s="31" cm="1">
        <f t="array" ref="D10">INDEX('03_Ratios'!$B$21:$P$25, MATCH("Asset Turnover",'03_Ratios'!$A$21:$A$25,0), MATCH(D$2,'03_Ratios'!$B$19:$P$19,0)+MATCH($A10,'03_Ratios'!$B$20:$D$20,0)-1)</f>
        <v>0.55358564556564127</v>
      </c>
      <c r="E10" s="31" cm="1">
        <f t="array" ref="E10">INDEX('03_Ratios'!$B$21:$P$25, MATCH("Asset Turnover",'03_Ratios'!$A$21:$A$25,0), MATCH(E$2,'03_Ratios'!$B$19:$P$19,0)+MATCH($A10,'03_Ratios'!$B$20:$D$20,0)-1)</f>
        <v>0.52650775232456215</v>
      </c>
      <c r="F10" s="31" cm="1">
        <f t="array" ref="F10">INDEX('03_Ratios'!$B$21:$P$25, MATCH("Asset Turnover",'03_Ratios'!$A$21:$A$25,0), MATCH(F$2,'03_Ratios'!$B$19:$P$19,0)+MATCH($A10,'03_Ratios'!$B$20:$D$20,0)-1)</f>
        <v>0.50402388654205665</v>
      </c>
    </row>
    <row r="12" spans="1:6" x14ac:dyDescent="0.2">
      <c r="A12" s="5" t="s">
        <v>187</v>
      </c>
      <c r="B12" s="28">
        <v>2021</v>
      </c>
      <c r="C12" s="28">
        <v>2022</v>
      </c>
      <c r="D12" s="28">
        <v>2023</v>
      </c>
      <c r="E12" s="28">
        <v>2024</v>
      </c>
      <c r="F12" s="28">
        <v>2025</v>
      </c>
    </row>
    <row r="13" spans="1:6" x14ac:dyDescent="0.2">
      <c r="A13" s="1" t="s">
        <v>150</v>
      </c>
      <c r="B13" s="32" cm="1">
        <f t="array" ref="B13">INDEX('03_Ratios'!$B$21:$P$25, MATCH("Equity Multiplier",'03_Ratios'!$A$21:$A$25,0), MATCH(B$2,'03_Ratios'!$B$19:$P$19,0)+MATCH($A13,'03_Ratios'!$B$20:$D$20,0)-1)</f>
        <v>3.4186611718708724</v>
      </c>
      <c r="C13" s="32" cm="1">
        <f t="array" ref="C13">INDEX('03_Ratios'!$B$21:$P$25, MATCH("Equity Multiplier",'03_Ratios'!$A$21:$A$25,0), MATCH(C$2,'03_Ratios'!$B$19:$P$19,0)+MATCH($A13,'03_Ratios'!$B$20:$D$20,0)-1)</f>
        <v>3.5732020971411611</v>
      </c>
      <c r="D13" s="32" cm="1">
        <f t="array" ref="D13">INDEX('03_Ratios'!$B$21:$P$25, MATCH("Equity Multiplier",'03_Ratios'!$A$21:$A$25,0), MATCH(D$2,'03_Ratios'!$B$19:$P$19,0)+MATCH($A13,'03_Ratios'!$B$20:$D$20,0)-1)</f>
        <v>3.7822886459959846</v>
      </c>
      <c r="E13" s="32" cm="1">
        <f t="array" ref="E13">INDEX('03_Ratios'!$B$21:$P$25, MATCH("Equity Multiplier",'03_Ratios'!$A$21:$A$25,0), MATCH(E$2,'03_Ratios'!$B$19:$P$19,0)+MATCH($A13,'03_Ratios'!$B$20:$D$20,0)-1)</f>
        <v>3.9922038980509749</v>
      </c>
      <c r="F13" s="32" cm="1">
        <f t="array" ref="F13">INDEX('03_Ratios'!$B$21:$P$25, MATCH("Equity Multiplier",'03_Ratios'!$A$21:$A$25,0), MATCH(F$2,'03_Ratios'!$B$19:$P$19,0)+MATCH($A13,'03_Ratios'!$B$20:$D$20,0)-1)</f>
        <v>4.1623686723973261</v>
      </c>
    </row>
    <row r="14" spans="1:6" x14ac:dyDescent="0.2">
      <c r="A14" s="1" t="s">
        <v>151</v>
      </c>
      <c r="B14" s="32" cm="1">
        <f t="array" ref="B14">INDEX('03_Ratios'!$B$21:$P$25, MATCH("Equity Multiplier",'03_Ratios'!$A$21:$A$25,0), MATCH(B$2,'03_Ratios'!$B$19:$P$19,0)+MATCH($A14,'03_Ratios'!$B$20:$D$20,0)-1)</f>
        <v>3.5512047781103502</v>
      </c>
      <c r="C14" s="32" cm="1">
        <f t="array" ref="C14">INDEX('03_Ratios'!$B$21:$P$25, MATCH("Equity Multiplier",'03_Ratios'!$A$21:$A$25,0), MATCH(C$2,'03_Ratios'!$B$19:$P$19,0)+MATCH($A14,'03_Ratios'!$B$20:$D$20,0)-1)</f>
        <v>3.0045643633002084</v>
      </c>
      <c r="D14" s="32" cm="1">
        <f t="array" ref="D14">INDEX('03_Ratios'!$B$21:$P$25, MATCH("Equity Multiplier",'03_Ratios'!$A$21:$A$25,0), MATCH(D$2,'03_Ratios'!$B$19:$P$19,0)+MATCH($A14,'03_Ratios'!$B$20:$D$20,0)-1)</f>
        <v>2.8338002068608859</v>
      </c>
      <c r="E14" s="32" cm="1">
        <f t="array" ref="E14">INDEX('03_Ratios'!$B$21:$P$25, MATCH("Equity Multiplier",'03_Ratios'!$A$21:$A$25,0), MATCH(E$2,'03_Ratios'!$B$19:$P$19,0)+MATCH($A14,'03_Ratios'!$B$20:$D$20,0)-1)</f>
        <v>2.8303962405212006</v>
      </c>
      <c r="F14" s="32" cm="1">
        <f t="array" ref="F14">INDEX('03_Ratios'!$B$21:$P$25, MATCH("Equity Multiplier",'03_Ratios'!$A$21:$A$25,0), MATCH(F$2,'03_Ratios'!$B$19:$P$19,0)+MATCH($A14,'03_Ratios'!$B$20:$D$20,0)-1)</f>
        <v>2.7108022071307301</v>
      </c>
    </row>
    <row r="15" spans="1:6" x14ac:dyDescent="0.2">
      <c r="A15" s="1" t="s">
        <v>152</v>
      </c>
      <c r="B15" s="32" cm="1">
        <f t="array" ref="B15">INDEX('03_Ratios'!$B$21:$P$25, MATCH("Equity Multiplier",'03_Ratios'!$A$21:$A$25,0), MATCH(B$2,'03_Ratios'!$B$19:$P$19,0)+MATCH($A15,'03_Ratios'!$B$20:$D$20,0)-1)</f>
        <v>3.6167946139004066</v>
      </c>
      <c r="C15" s="32" cm="1">
        <f t="array" ref="C15">INDEX('03_Ratios'!$B$21:$P$25, MATCH("Equity Multiplier",'03_Ratios'!$A$21:$A$25,0), MATCH(C$2,'03_Ratios'!$B$19:$P$19,0)+MATCH($A15,'03_Ratios'!$B$20:$D$20,0)-1)</f>
        <v>3.162784307568077</v>
      </c>
      <c r="D15" s="32" cm="1">
        <f t="array" ref="D15">INDEX('03_Ratios'!$B$21:$P$25, MATCH("Equity Multiplier",'03_Ratios'!$A$21:$A$25,0), MATCH(D$2,'03_Ratios'!$B$19:$P$19,0)+MATCH($A15,'03_Ratios'!$B$20:$D$20,0)-1)</f>
        <v>3.161137790134378</v>
      </c>
      <c r="E15" s="32" cm="1">
        <f t="array" ref="E15">INDEX('03_Ratios'!$B$21:$P$25, MATCH("Equity Multiplier",'03_Ratios'!$A$21:$A$25,0), MATCH(E$2,'03_Ratios'!$B$19:$P$19,0)+MATCH($A15,'03_Ratios'!$B$20:$D$20,0)-1)</f>
        <v>3.2171086407327771</v>
      </c>
      <c r="F15" s="32" cm="1">
        <f t="array" ref="F15">INDEX('03_Ratios'!$B$21:$P$25, MATCH("Equity Multiplier",'03_Ratios'!$A$21:$A$25,0), MATCH(F$2,'03_Ratios'!$B$19:$P$19,0)+MATCH($A15,'03_Ratios'!$B$20:$D$20,0)-1)</f>
        <v>3.1738700050232942</v>
      </c>
    </row>
    <row r="17" spans="1:6" x14ac:dyDescent="0.2">
      <c r="A17" s="5" t="s">
        <v>199</v>
      </c>
      <c r="B17" s="28">
        <v>2021</v>
      </c>
      <c r="C17" s="28">
        <v>2022</v>
      </c>
      <c r="D17" s="28">
        <v>2023</v>
      </c>
      <c r="E17" s="28">
        <v>2024</v>
      </c>
      <c r="F17" s="28">
        <v>2025</v>
      </c>
    </row>
    <row r="18" spans="1:6" x14ac:dyDescent="0.2">
      <c r="A18" s="1" t="s">
        <v>150</v>
      </c>
      <c r="B18" s="31" cm="1">
        <f t="array" ref="B18">INDEX('03_Ratios'!$B$21:$P$25, MATCH("Return on Equity",'03_Ratios'!$A$21:$A$25,0), MATCH(B$2,'03_Ratios'!$B$19:$P$19,0)+MATCH($A18,'03_Ratios'!$B$20:$D$20,0)-1)</f>
        <v>0.27439824028584714</v>
      </c>
      <c r="C18" s="31" cm="1">
        <f t="array" ref="C18">INDEX('03_Ratios'!$B$21:$P$25, MATCH("Return on Equity",'03_Ratios'!$A$21:$A$25,0), MATCH(C$2,'03_Ratios'!$B$19:$P$19,0)+MATCH($A18,'03_Ratios'!$B$20:$D$20,0)-1)</f>
        <v>0.329329065558575</v>
      </c>
      <c r="D18" s="31" cm="1">
        <f t="array" ref="D18">INDEX('03_Ratios'!$B$21:$P$25, MATCH("Return on Equity",'03_Ratios'!$A$21:$A$25,0), MATCH(D$2,'03_Ratios'!$B$19:$P$19,0)+MATCH($A18,'03_Ratios'!$B$20:$D$20,0)-1)</f>
        <v>0.23579390189578514</v>
      </c>
      <c r="E18" s="31" cm="1">
        <f t="array" ref="E18">INDEX('03_Ratios'!$B$21:$P$25, MATCH("Return on Equity",'03_Ratios'!$A$21:$A$25,0), MATCH(E$2,'03_Ratios'!$B$19:$P$19,0)+MATCH($A18,'03_Ratios'!$B$20:$D$20,0)-1)</f>
        <v>0.20936241999987551</v>
      </c>
      <c r="F18" s="31" cm="1">
        <f t="array" ref="F18">INDEX('03_Ratios'!$B$21:$P$25, MATCH("Return on Equity",'03_Ratios'!$A$21:$A$25,0), MATCH(F$2,'03_Ratios'!$B$19:$P$19,0)+MATCH($A18,'03_Ratios'!$B$20:$D$20,0)-1)</f>
        <v>0.23985123444957812</v>
      </c>
    </row>
    <row r="19" spans="1:6" x14ac:dyDescent="0.2">
      <c r="A19" s="1" t="s">
        <v>151</v>
      </c>
      <c r="B19" s="31" cm="1">
        <f t="array" ref="B19">INDEX('03_Ratios'!$B$21:$P$25, MATCH("Return on Equity",'03_Ratios'!$A$21:$A$25,0), MATCH(B$2,'03_Ratios'!$B$19:$P$19,0)+MATCH($A19,'03_Ratios'!$B$20:$D$20,0)-1)</f>
        <v>0.30457793341497208</v>
      </c>
      <c r="C19" s="31" cm="1">
        <f t="array" ref="C19">INDEX('03_Ratios'!$B$21:$P$25, MATCH("Return on Equity",'03_Ratios'!$A$21:$A$25,0), MATCH(C$2,'03_Ratios'!$B$19:$P$19,0)+MATCH($A19,'03_Ratios'!$B$20:$D$20,0)-1)</f>
        <v>0.17118374924924989</v>
      </c>
      <c r="D19" s="31" cm="1">
        <f t="array" ref="D19">INDEX('03_Ratios'!$B$21:$P$25, MATCH("Return on Equity",'03_Ratios'!$A$21:$A$25,0), MATCH(D$2,'03_Ratios'!$B$19:$P$19,0)+MATCH($A19,'03_Ratios'!$B$20:$D$20,0)-1)</f>
        <v>0.15745712370595399</v>
      </c>
      <c r="E19" s="31" cm="1">
        <f t="array" ref="E19">INDEX('03_Ratios'!$B$21:$P$25, MATCH("Return on Equity",'03_Ratios'!$A$21:$A$25,0), MATCH(E$2,'03_Ratios'!$B$19:$P$19,0)+MATCH($A19,'03_Ratios'!$B$20:$D$20,0)-1)</f>
        <v>0.11159018569929542</v>
      </c>
      <c r="F19" s="31" cm="1">
        <f t="array" ref="F19">INDEX('03_Ratios'!$B$21:$P$25, MATCH("Return on Equity",'03_Ratios'!$A$21:$A$25,0), MATCH(F$2,'03_Ratios'!$B$19:$P$19,0)+MATCH($A19,'03_Ratios'!$B$20:$D$20,0)-1)</f>
        <v>5.5531039149601218E-2</v>
      </c>
    </row>
    <row r="20" spans="1:6" x14ac:dyDescent="0.2">
      <c r="A20" s="1" t="s">
        <v>152</v>
      </c>
      <c r="B20" s="31" cm="1">
        <f t="array" ref="B20">INDEX('03_Ratios'!$B$21:$P$25, MATCH("Return on Equity",'03_Ratios'!$A$21:$A$25,0), MATCH(B$2,'03_Ratios'!$B$19:$P$19,0)+MATCH($A20,'03_Ratios'!$B$20:$D$20,0)-1)</f>
        <v>0.10879407112571635</v>
      </c>
      <c r="C20" s="31" cm="1">
        <f t="array" ref="C20">INDEX('03_Ratios'!$B$21:$P$25, MATCH("Return on Equity",'03_Ratios'!$A$21:$A$25,0), MATCH(C$2,'03_Ratios'!$B$19:$P$19,0)+MATCH($A20,'03_Ratios'!$B$20:$D$20,0)-1)</f>
        <v>9.1784317746090208E-2</v>
      </c>
      <c r="D20" s="31" cm="1">
        <f t="array" ref="D20">INDEX('03_Ratios'!$B$21:$P$25, MATCH("Return on Equity",'03_Ratios'!$A$21:$A$25,0), MATCH(D$2,'03_Ratios'!$B$19:$P$19,0)+MATCH($A20,'03_Ratios'!$B$20:$D$20,0)-1)</f>
        <v>9.7346725002218623E-2</v>
      </c>
      <c r="E20" s="31" cm="1">
        <f t="array" ref="E20">INDEX('03_Ratios'!$B$21:$P$25, MATCH("Return on Equity",'03_Ratios'!$A$21:$A$25,0), MATCH(E$2,'03_Ratios'!$B$19:$P$19,0)+MATCH($A20,'03_Ratios'!$B$20:$D$20,0)-1)</f>
        <v>6.4668620218209669E-2</v>
      </c>
      <c r="F20" s="31" cm="1">
        <f t="array" ref="F20">INDEX('03_Ratios'!$B$21:$P$25, MATCH("Return on Equity",'03_Ratios'!$A$21:$A$25,0), MATCH(F$2,'03_Ratios'!$B$19:$P$19,0)+MATCH($A20,'03_Ratios'!$B$20:$D$20,0)-1)</f>
        <v>3.4313531821091814E-2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CA1D-94C8-444B-8E5B-9795E7839EAF}">
  <sheetPr>
    <tabColor rgb="FF002060"/>
  </sheetPr>
  <dimension ref="A2:N29"/>
  <sheetViews>
    <sheetView workbookViewId="0">
      <selection activeCell="Q20" sqref="Q20"/>
    </sheetView>
  </sheetViews>
  <sheetFormatPr defaultRowHeight="12.75" x14ac:dyDescent="0.2"/>
  <cols>
    <col min="1" max="2" width="19.28515625" style="1" bestFit="1" customWidth="1"/>
    <col min="3" max="7" width="7.28515625" style="1" bestFit="1" customWidth="1"/>
    <col min="8" max="8" width="9.140625" style="1"/>
    <col min="9" max="9" width="14.42578125" style="1" bestFit="1" customWidth="1"/>
    <col min="10" max="10" width="16.140625" style="1" bestFit="1" customWidth="1"/>
    <col min="11" max="14" width="12" style="1" bestFit="1" customWidth="1"/>
    <col min="15" max="15" width="11" style="1" bestFit="1" customWidth="1"/>
    <col min="16" max="17" width="12" style="1" bestFit="1" customWidth="1"/>
    <col min="18" max="18" width="11" style="1" bestFit="1" customWidth="1"/>
    <col min="19" max="20" width="12" style="1" bestFit="1" customWidth="1"/>
    <col min="21" max="21" width="11" style="1" bestFit="1" customWidth="1"/>
    <col min="22" max="25" width="17.42578125" style="1" bestFit="1" customWidth="1"/>
    <col min="26" max="16384" width="9.140625" style="1"/>
  </cols>
  <sheetData>
    <row r="2" spans="1:14" x14ac:dyDescent="0.2">
      <c r="A2" s="41" t="s">
        <v>179</v>
      </c>
      <c r="B2" s="41" t="s">
        <v>201</v>
      </c>
      <c r="C2" s="41">
        <v>2021</v>
      </c>
      <c r="D2" s="41">
        <v>2022</v>
      </c>
      <c r="E2" s="41">
        <v>2023</v>
      </c>
      <c r="F2" s="41">
        <v>2024</v>
      </c>
      <c r="G2" s="41">
        <v>2025</v>
      </c>
      <c r="I2" s="2" t="s">
        <v>202</v>
      </c>
      <c r="J2" s="2" t="s">
        <v>191</v>
      </c>
    </row>
    <row r="3" spans="1:14" x14ac:dyDescent="0.2">
      <c r="A3" s="37" t="s">
        <v>191</v>
      </c>
      <c r="B3" s="1" t="s">
        <v>150</v>
      </c>
      <c r="C3" s="31" cm="1">
        <f t="array" ref="C3">INDEX('02_Common_Size_IS_BS'!$B$4:$P$15, MATCH("Gross Profit",'02_Common_Size_IS_BS'!$A$4:$A$15,0), MATCH(C$2,'02_Common_Size_IS_BS'!$B$2:$P$2,0)+MATCH($B3,'02_Common_Size_IS_BS'!$B$3:$D$3,0)-1)</f>
        <v>0.18348281860696292</v>
      </c>
      <c r="D3" s="31" cm="1">
        <f t="array" ref="D3">INDEX('02_Common_Size_IS_BS'!$B$4:$P$15, MATCH("Gross Profit",'02_Common_Size_IS_BS'!$A$4:$A$15,0), MATCH(D$2,'02_Common_Size_IS_BS'!$B$2:$P$2,0)+MATCH($B3,'02_Common_Size_IS_BS'!$B$3:$D$3,0)-1)</f>
        <v>0.17361118139403078</v>
      </c>
      <c r="E3" s="31" cm="1">
        <f t="array" ref="E3">INDEX('02_Common_Size_IS_BS'!$B$4:$P$15, MATCH("Gross Profit",'02_Common_Size_IS_BS'!$A$4:$A$15,0), MATCH(E$2,'02_Common_Size_IS_BS'!$B$2:$P$2,0)+MATCH($B3,'02_Common_Size_IS_BS'!$B$3:$D$3,0)-1)</f>
        <v>0.15767469455105029</v>
      </c>
      <c r="F3" s="31" cm="1">
        <f t="array" ref="F3">INDEX('02_Common_Size_IS_BS'!$B$4:$P$15, MATCH("Gross Profit",'02_Common_Size_IS_BS'!$A$4:$A$15,0), MATCH(F$2,'02_Common_Size_IS_BS'!$B$2:$P$2,0)+MATCH($B3,'02_Common_Size_IS_BS'!$B$3:$D$3,0)-1)</f>
        <v>0.16239543473513299</v>
      </c>
      <c r="G3" s="31" cm="1">
        <f t="array" ref="G3">INDEX('02_Common_Size_IS_BS'!$B$4:$P$15, MATCH("Gross Profit",'02_Common_Size_IS_BS'!$A$4:$A$15,0), MATCH(G$2,'02_Common_Size_IS_BS'!$B$2:$P$2,0)+MATCH($B3,'02_Common_Size_IS_BS'!$B$3:$D$3,0)-1)</f>
        <v>0.15078184302413847</v>
      </c>
    </row>
    <row r="4" spans="1:14" x14ac:dyDescent="0.2">
      <c r="A4" s="37" t="s">
        <v>191</v>
      </c>
      <c r="B4" s="1" t="s">
        <v>151</v>
      </c>
      <c r="C4" s="31" cm="1">
        <f t="array" ref="C4">INDEX('02_Common_Size_IS_BS'!$B$4:$P$15, MATCH("Gross Profit",'02_Common_Size_IS_BS'!$A$4:$A$15,0), MATCH(C$2,'02_Common_Size_IS_BS'!$B$2:$P$2,0)+MATCH($B4,'02_Common_Size_IS_BS'!$B$3:$D$3,0)-1)</f>
        <v>0.22910084918554369</v>
      </c>
      <c r="D4" s="31" cm="1">
        <f t="array" ref="D4">INDEX('02_Common_Size_IS_BS'!$B$4:$P$15, MATCH("Gross Profit",'02_Common_Size_IS_BS'!$A$4:$A$15,0), MATCH(D$2,'02_Common_Size_IS_BS'!$B$2:$P$2,0)+MATCH($B4,'02_Common_Size_IS_BS'!$B$3:$D$3,0)-1)</f>
        <v>0.22677429891278988</v>
      </c>
      <c r="E4" s="31" cm="1">
        <f t="array" ref="E4">INDEX('02_Common_Size_IS_BS'!$B$4:$P$15, MATCH("Gross Profit",'02_Common_Size_IS_BS'!$A$4:$A$15,0), MATCH(E$2,'02_Common_Size_IS_BS'!$B$2:$P$2,0)+MATCH($B4,'02_Common_Size_IS_BS'!$B$3:$D$3,0)-1)</f>
        <v>0.22437964207860694</v>
      </c>
      <c r="F4" s="31" cm="1">
        <f t="array" ref="F4">INDEX('02_Common_Size_IS_BS'!$B$4:$P$15, MATCH("Gross Profit",'02_Common_Size_IS_BS'!$A$4:$A$15,0), MATCH(F$2,'02_Common_Size_IS_BS'!$B$2:$P$2,0)+MATCH($B4,'02_Common_Size_IS_BS'!$B$3:$D$3,0)-1)</f>
        <v>0.19627182438836765</v>
      </c>
      <c r="G4" s="31" cm="1">
        <f t="array" ref="G4">INDEX('02_Common_Size_IS_BS'!$B$4:$P$15, MATCH("Gross Profit",'02_Common_Size_IS_BS'!$A$4:$A$15,0), MATCH(G$2,'02_Common_Size_IS_BS'!$B$2:$P$2,0)+MATCH($B4,'02_Common_Size_IS_BS'!$B$3:$D$3,0)-1)</f>
        <v>0.16891554600874339</v>
      </c>
      <c r="J4" s="28">
        <v>2021</v>
      </c>
      <c r="K4" s="28">
        <v>2022</v>
      </c>
      <c r="L4" s="28">
        <v>2023</v>
      </c>
      <c r="M4" s="28">
        <v>2024</v>
      </c>
      <c r="N4" s="28">
        <v>2025</v>
      </c>
    </row>
    <row r="5" spans="1:14" x14ac:dyDescent="0.2">
      <c r="A5" s="38" t="s">
        <v>191</v>
      </c>
      <c r="B5" s="39" t="s">
        <v>152</v>
      </c>
      <c r="C5" s="40" cm="1">
        <f t="array" ref="C5">INDEX('02_Common_Size_IS_BS'!$B$4:$P$15, MATCH("Gross Profit",'02_Common_Size_IS_BS'!$A$4:$A$15,0), MATCH(C$2,'02_Common_Size_IS_BS'!$B$2:$P$2,0)+MATCH($B5,'02_Common_Size_IS_BS'!$B$3:$D$3,0)-1)</f>
        <v>0.18881294964028777</v>
      </c>
      <c r="D5" s="40" cm="1">
        <f t="array" ref="D5">INDEX('02_Common_Size_IS_BS'!$B$4:$P$15, MATCH("Gross Profit",'02_Common_Size_IS_BS'!$A$4:$A$15,0), MATCH(D$2,'02_Common_Size_IS_BS'!$B$2:$P$2,0)+MATCH($B5,'02_Common_Size_IS_BS'!$B$3:$D$3,0)-1)</f>
        <v>0.18700591291883176</v>
      </c>
      <c r="E5" s="40" cm="1">
        <f t="array" ref="E5">INDEX('02_Common_Size_IS_BS'!$B$4:$P$15, MATCH("Gross Profit",'02_Common_Size_IS_BS'!$A$4:$A$15,0), MATCH(E$2,'02_Common_Size_IS_BS'!$B$2:$P$2,0)+MATCH($B5,'02_Common_Size_IS_BS'!$B$3:$D$3,0)-1)</f>
        <v>0.18934231919673331</v>
      </c>
      <c r="F5" s="40" cm="1">
        <f t="array" ref="F5">INDEX('02_Common_Size_IS_BS'!$B$4:$P$15, MATCH("Gross Profit",'02_Common_Size_IS_BS'!$A$4:$A$15,0), MATCH(F$2,'02_Common_Size_IS_BS'!$B$2:$P$2,0)+MATCH($B5,'02_Common_Size_IS_BS'!$B$3:$D$3,0)-1)</f>
        <v>0.18318466315115076</v>
      </c>
      <c r="G5" s="40" cm="1">
        <f t="array" ref="G5">INDEX('02_Common_Size_IS_BS'!$B$4:$P$15, MATCH("Gross Profit",'02_Common_Size_IS_BS'!$A$4:$A$15,0), MATCH(G$2,'02_Common_Size_IS_BS'!$B$2:$P$2,0)+MATCH($B5,'02_Common_Size_IS_BS'!$B$3:$D$3,0)-1)</f>
        <v>0.15918276055953007</v>
      </c>
      <c r="I5" s="43" t="s">
        <v>150</v>
      </c>
      <c r="J5" s="31" cm="1">
        <f t="array" ref="J5">INDEX($C$3:$G$29,MATCH(1,($A$3:$A$29=$J$2)*($B$3:$B$29=$I5),0),MATCH(J$4,$C$2:$G$2,0))</f>
        <v>0.18348281860696292</v>
      </c>
      <c r="K5" s="31" cm="1">
        <f t="array" ref="K5">INDEX($C$3:$G$29,MATCH(1,($A$3:$A$29=$J$2)*($B$3:$B$29=$I5),0),MATCH(K$4,$C$2:$G$2,0))</f>
        <v>0.17361118139403078</v>
      </c>
      <c r="L5" s="31" cm="1">
        <f t="array" ref="L5">INDEX($C$3:$G$29,MATCH(1,($A$3:$A$29=$J$2)*($B$3:$B$29=$I5),0),MATCH(L$4,$C$2:$G$2,0))</f>
        <v>0.15767469455105029</v>
      </c>
      <c r="M5" s="31" cm="1">
        <f t="array" ref="M5">INDEX($C$3:$G$29,MATCH(1,($A$3:$A$29=$J$2)*($B$3:$B$29=$I5),0),MATCH(M$4,$C$2:$G$2,0))</f>
        <v>0.16239543473513299</v>
      </c>
      <c r="N5" s="31" cm="1">
        <f t="array" ref="N5">INDEX($C$3:$G$29,MATCH(1,($A$3:$A$29=$J$2)*($B$3:$B$29=$I5),0),MATCH(N$4,$C$2:$G$2,0))</f>
        <v>0.15078184302413847</v>
      </c>
    </row>
    <row r="6" spans="1:14" x14ac:dyDescent="0.2">
      <c r="A6" s="37" t="s">
        <v>192</v>
      </c>
      <c r="B6" s="1" t="s">
        <v>150</v>
      </c>
      <c r="C6" s="31" cm="1">
        <f t="array" ref="C6">-INDEX('02_Common_Size_IS_BS'!$B$4:$P$15, MATCH("Total Operating Expenses",'02_Common_Size_IS_BS'!$A$4:$A$15,0), MATCH(C$2,'02_Common_Size_IS_BS'!$B$2:$P$2,0)+MATCH($B6,'02_Common_Size_IS_BS'!$B$3:$D$3,0)-1)</f>
        <v>0.14473713937148408</v>
      </c>
      <c r="D6" s="31" cm="1">
        <f t="array" ref="D6">-INDEX('02_Common_Size_IS_BS'!$B$4:$P$15, MATCH("Total Operating Expenses",'02_Common_Size_IS_BS'!$A$4:$A$15,0), MATCH(D$2,'02_Common_Size_IS_BS'!$B$2:$P$2,0)+MATCH($B6,'02_Common_Size_IS_BS'!$B$3:$D$3,0)-1)</f>
        <v>0.15002985618427844</v>
      </c>
      <c r="E6" s="31" cm="1">
        <f t="array" ref="E6">-INDEX('02_Common_Size_IS_BS'!$B$4:$P$15, MATCH("Total Operating Expenses",'02_Common_Size_IS_BS'!$A$4:$A$15,0), MATCH(E$2,'02_Common_Size_IS_BS'!$B$2:$P$2,0)+MATCH($B6,'02_Common_Size_IS_BS'!$B$3:$D$3,0)-1)</f>
        <v>0.13966294009677957</v>
      </c>
      <c r="F6" s="31" cm="1">
        <f t="array" ref="F6">-INDEX('02_Common_Size_IS_BS'!$B$4:$P$15, MATCH("Total Operating Expenses",'02_Common_Size_IS_BS'!$A$4:$A$15,0), MATCH(F$2,'02_Common_Size_IS_BS'!$B$2:$P$2,0)+MATCH($B6,'02_Common_Size_IS_BS'!$B$3:$D$3,0)-1)</f>
        <v>0.1570021933780871</v>
      </c>
      <c r="G6" s="31" cm="1">
        <f t="array" ref="G6">-INDEX('02_Common_Size_IS_BS'!$B$4:$P$15, MATCH("Total Operating Expenses",'02_Common_Size_IS_BS'!$A$4:$A$15,0), MATCH(G$2,'02_Common_Size_IS_BS'!$B$2:$P$2,0)+MATCH($B6,'02_Common_Size_IS_BS'!$B$3:$D$3,0)-1)</f>
        <v>0.1535448610900258</v>
      </c>
      <c r="I6" s="35" t="s">
        <v>151</v>
      </c>
      <c r="J6" s="31" cm="1">
        <f t="array" ref="J6">INDEX($C$3:$G$29,MATCH(1,($A$3:$A$29=$J$2)*($B$3:$B$29=$I6),0),MATCH(J$4,$C$2:$G$2,0))</f>
        <v>0.22910084918554369</v>
      </c>
      <c r="K6" s="31" cm="1">
        <f t="array" ref="K6">INDEX($C$3:$G$29,MATCH(1,($A$3:$A$29=$J$2)*($B$3:$B$29=$I6),0),MATCH(K$4,$C$2:$G$2,0))</f>
        <v>0.22677429891278988</v>
      </c>
      <c r="L6" s="31" cm="1">
        <f t="array" ref="L6">INDEX($C$3:$G$29,MATCH(1,($A$3:$A$29=$J$2)*($B$3:$B$29=$I6),0),MATCH(L$4,$C$2:$G$2,0))</f>
        <v>0.22437964207860694</v>
      </c>
      <c r="M6" s="31" cm="1">
        <f t="array" ref="M6">INDEX($C$3:$G$29,MATCH(1,($A$3:$A$29=$J$2)*($B$3:$B$29=$I6),0),MATCH(M$4,$C$2:$G$2,0))</f>
        <v>0.19627182438836765</v>
      </c>
      <c r="N6" s="31" cm="1">
        <f t="array" ref="N6">INDEX($C$3:$G$29,MATCH(1,($A$3:$A$29=$J$2)*($B$3:$B$29=$I6),0),MATCH(N$4,$C$2:$G$2,0))</f>
        <v>0.16891554600874339</v>
      </c>
    </row>
    <row r="7" spans="1:14" x14ac:dyDescent="0.2">
      <c r="A7" s="37" t="s">
        <v>192</v>
      </c>
      <c r="B7" s="1" t="s">
        <v>151</v>
      </c>
      <c r="C7" s="31" cm="1">
        <f t="array" ref="C7">-INDEX('02_Common_Size_IS_BS'!$B$4:$P$15, MATCH("Total Operating Expenses",'02_Common_Size_IS_BS'!$A$4:$A$15,0), MATCH(C$2,'02_Common_Size_IS_BS'!$B$2:$P$2,0)+MATCH($B7,'02_Common_Size_IS_BS'!$B$3:$D$3,0)-1)</f>
        <v>0.12185849895065463</v>
      </c>
      <c r="D7" s="31" cm="1">
        <f t="array" ref="D7">-INDEX('02_Common_Size_IS_BS'!$B$4:$P$15, MATCH("Total Operating Expenses",'02_Common_Size_IS_BS'!$A$4:$A$15,0), MATCH(D$2,'02_Common_Size_IS_BS'!$B$2:$P$2,0)+MATCH($B7,'02_Common_Size_IS_BS'!$B$3:$D$3,0)-1)</f>
        <v>0.10421485564969303</v>
      </c>
      <c r="E7" s="31" cm="1">
        <f t="array" ref="E7">-INDEX('02_Common_Size_IS_BS'!$B$4:$P$15, MATCH("Total Operating Expenses",'02_Common_Size_IS_BS'!$A$4:$A$15,0), MATCH(E$2,'02_Common_Size_IS_BS'!$B$2:$P$2,0)+MATCH($B7,'02_Common_Size_IS_BS'!$B$3:$D$3,0)-1)</f>
        <v>0.1106658486600791</v>
      </c>
      <c r="F7" s="31" cm="1">
        <f t="array" ref="F7">-INDEX('02_Common_Size_IS_BS'!$B$4:$P$15, MATCH("Total Operating Expenses",'02_Common_Size_IS_BS'!$A$4:$A$15,0), MATCH(F$2,'02_Common_Size_IS_BS'!$B$2:$P$2,0)+MATCH($B7,'02_Common_Size_IS_BS'!$B$3:$D$3,0)-1)</f>
        <v>0.11043037487808563</v>
      </c>
      <c r="G7" s="31" cm="1">
        <f t="array" ref="G7">-INDEX('02_Common_Size_IS_BS'!$B$4:$P$15, MATCH("Total Operating Expenses",'02_Common_Size_IS_BS'!$A$4:$A$15,0), MATCH(G$2,'02_Common_Size_IS_BS'!$B$2:$P$2,0)+MATCH($B7,'02_Common_Size_IS_BS'!$B$3:$D$3,0)-1)</f>
        <v>0.13405539504137232</v>
      </c>
      <c r="I7" s="36" t="s">
        <v>152</v>
      </c>
      <c r="J7" s="31" cm="1">
        <f t="array" ref="J7">INDEX($C$3:$G$29,MATCH(1,($A$3:$A$29=$J$2)*($B$3:$B$29=$I7),0),MATCH(J$4,$C$2:$G$2,0))</f>
        <v>0.18881294964028777</v>
      </c>
      <c r="K7" s="31" cm="1">
        <f t="array" ref="K7">INDEX($C$3:$G$29,MATCH(1,($A$3:$A$29=$J$2)*($B$3:$B$29=$I7),0),MATCH(K$4,$C$2:$G$2,0))</f>
        <v>0.18700591291883176</v>
      </c>
      <c r="L7" s="31" cm="1">
        <f t="array" ref="L7">INDEX($C$3:$G$29,MATCH(1,($A$3:$A$29=$J$2)*($B$3:$B$29=$I7),0),MATCH(L$4,$C$2:$G$2,0))</f>
        <v>0.18934231919673331</v>
      </c>
      <c r="M7" s="31" cm="1">
        <f t="array" ref="M7">INDEX($C$3:$G$29,MATCH(1,($A$3:$A$29=$J$2)*($B$3:$B$29=$I7),0),MATCH(M$4,$C$2:$G$2,0))</f>
        <v>0.18318466315115076</v>
      </c>
      <c r="N7" s="31" cm="1">
        <f t="array" ref="N7">INDEX($C$3:$G$29,MATCH(1,($A$3:$A$29=$J$2)*($B$3:$B$29=$I7),0),MATCH(N$4,$C$2:$G$2,0))</f>
        <v>0.15918276055953007</v>
      </c>
    </row>
    <row r="8" spans="1:14" x14ac:dyDescent="0.2">
      <c r="A8" s="38" t="s">
        <v>192</v>
      </c>
      <c r="B8" s="39" t="s">
        <v>152</v>
      </c>
      <c r="C8" s="40" cm="1">
        <f t="array" ref="C8">-INDEX('02_Common_Size_IS_BS'!$B$4:$P$15, MATCH("Total Operating Expenses",'02_Common_Size_IS_BS'!$A$4:$A$15,0), MATCH(C$2,'02_Common_Size_IS_BS'!$B$2:$P$2,0)+MATCH($B8,'02_Common_Size_IS_BS'!$B$3:$D$3,0)-1)</f>
        <v>0.11177458033573141</v>
      </c>
      <c r="D8" s="40" cm="1">
        <f t="array" ref="D8">-INDEX('02_Common_Size_IS_BS'!$B$4:$P$15, MATCH("Total Operating Expenses",'02_Common_Size_IS_BS'!$A$4:$A$15,0), MATCH(D$2,'02_Common_Size_IS_BS'!$B$2:$P$2,0)+MATCH($B8,'02_Common_Size_IS_BS'!$B$3:$D$3,0)-1)</f>
        <v>0.10777280057337395</v>
      </c>
      <c r="E8" s="40" cm="1">
        <f t="array" ref="E8">-INDEX('02_Common_Size_IS_BS'!$B$4:$P$15, MATCH("Total Operating Expenses",'02_Common_Size_IS_BS'!$A$4:$A$15,0), MATCH(E$2,'02_Common_Size_IS_BS'!$B$2:$P$2,0)+MATCH($B8,'02_Common_Size_IS_BS'!$B$3:$D$3,0)-1)</f>
        <v>0.11929230120018369</v>
      </c>
      <c r="F8" s="40" cm="1">
        <f t="array" ref="F8">-INDEX('02_Common_Size_IS_BS'!$B$4:$P$15, MATCH("Total Operating Expenses",'02_Common_Size_IS_BS'!$A$4:$A$15,0), MATCH(F$2,'02_Common_Size_IS_BS'!$B$2:$P$2,0)+MATCH($B8,'02_Common_Size_IS_BS'!$B$3:$D$3,0)-1)</f>
        <v>0.12447636883347298</v>
      </c>
      <c r="G8" s="40" cm="1">
        <f t="array" ref="G8">-INDEX('02_Common_Size_IS_BS'!$B$4:$P$15, MATCH("Total Operating Expenses",'02_Common_Size_IS_BS'!$A$4:$A$15,0), MATCH(G$2,'02_Common_Size_IS_BS'!$B$2:$P$2,0)+MATCH($B8,'02_Common_Size_IS_BS'!$B$3:$D$3,0)-1)</f>
        <v>0.13163183841596954</v>
      </c>
    </row>
    <row r="9" spans="1:14" x14ac:dyDescent="0.2">
      <c r="A9" s="37" t="s">
        <v>193</v>
      </c>
      <c r="B9" s="1" t="s">
        <v>150</v>
      </c>
      <c r="C9" s="31" cm="1">
        <f t="array" ref="C9">INDEX('02_Common_Size_IS_BS'!$B$4:$P$15, MATCH("Operating Profit (EBIT)",'02_Common_Size_IS_BS'!$A$4:$A$15,0), MATCH(C$2,'02_Common_Size_IS_BS'!$B$2:$P$2,0)+MATCH($B9,'02_Common_Size_IS_BS'!$B$3:$D$3,0)-1)</f>
        <v>3.8745679235478843E-2</v>
      </c>
      <c r="D9" s="31" cm="1">
        <f t="array" ref="D9">INDEX('02_Common_Size_IS_BS'!$B$4:$P$15, MATCH("Operating Profit (EBIT)",'02_Common_Size_IS_BS'!$A$4:$A$15,0), MATCH(D$2,'02_Common_Size_IS_BS'!$B$2:$P$2,0)+MATCH($B9,'02_Common_Size_IS_BS'!$B$3:$D$3,0)-1)</f>
        <v>2.3581325209752344E-2</v>
      </c>
      <c r="E9" s="31" cm="1">
        <f t="array" ref="E9">INDEX('02_Common_Size_IS_BS'!$B$4:$P$15, MATCH("Operating Profit (EBIT)",'02_Common_Size_IS_BS'!$A$4:$A$15,0), MATCH(E$2,'02_Common_Size_IS_BS'!$B$2:$P$2,0)+MATCH($B9,'02_Common_Size_IS_BS'!$B$3:$D$3,0)-1)</f>
        <v>1.8011754454270723E-2</v>
      </c>
      <c r="F9" s="31" cm="1">
        <f t="array" ref="F9">INDEX('02_Common_Size_IS_BS'!$B$4:$P$15, MATCH("Operating Profit (EBIT)",'02_Common_Size_IS_BS'!$A$4:$A$15,0), MATCH(F$2,'02_Common_Size_IS_BS'!$B$2:$P$2,0)+MATCH($B9,'02_Common_Size_IS_BS'!$B$3:$D$3,0)-1)</f>
        <v>5.3932413570458712E-3</v>
      </c>
      <c r="G9" s="31" cm="1">
        <f t="array" ref="G9">INDEX('02_Common_Size_IS_BS'!$B$4:$P$15, MATCH("Operating Profit (EBIT)",'02_Common_Size_IS_BS'!$A$4:$A$15,0), MATCH(G$2,'02_Common_Size_IS_BS'!$B$2:$P$2,0)+MATCH($B9,'02_Common_Size_IS_BS'!$B$3:$D$3,0)-1)</f>
        <v>-2.7630180658873541E-3</v>
      </c>
    </row>
    <row r="10" spans="1:14" x14ac:dyDescent="0.2">
      <c r="A10" s="37" t="s">
        <v>193</v>
      </c>
      <c r="B10" s="1" t="s">
        <v>151</v>
      </c>
      <c r="C10" s="31" cm="1">
        <f t="array" ref="C10">INDEX('02_Common_Size_IS_BS'!$B$4:$P$15, MATCH("Operating Profit (EBIT)",'02_Common_Size_IS_BS'!$A$4:$A$15,0), MATCH(C$2,'02_Common_Size_IS_BS'!$B$2:$P$2,0)+MATCH($B10,'02_Common_Size_IS_BS'!$B$3:$D$3,0)-1)</f>
        <v>0.10724235023488905</v>
      </c>
      <c r="D10" s="31" cm="1">
        <f t="array" ref="D10">INDEX('02_Common_Size_IS_BS'!$B$4:$P$15, MATCH("Operating Profit (EBIT)",'02_Common_Size_IS_BS'!$A$4:$A$15,0), MATCH(D$2,'02_Common_Size_IS_BS'!$B$2:$P$2,0)+MATCH($B10,'02_Common_Size_IS_BS'!$B$3:$D$3,0)-1)</f>
        <v>0.12255944326309685</v>
      </c>
      <c r="E10" s="31" cm="1">
        <f t="array" ref="E10">INDEX('02_Common_Size_IS_BS'!$B$4:$P$15, MATCH("Operating Profit (EBIT)",'02_Common_Size_IS_BS'!$A$4:$A$15,0), MATCH(E$2,'02_Common_Size_IS_BS'!$B$2:$P$2,0)+MATCH($B10,'02_Common_Size_IS_BS'!$B$3:$D$3,0)-1)</f>
        <v>0.11371379341852784</v>
      </c>
      <c r="F10" s="31" cm="1">
        <f t="array" ref="F10">INDEX('02_Common_Size_IS_BS'!$B$4:$P$15, MATCH("Operating Profit (EBIT)",'02_Common_Size_IS_BS'!$A$4:$A$15,0), MATCH(F$2,'02_Common_Size_IS_BS'!$B$2:$P$2,0)+MATCH($B10,'02_Common_Size_IS_BS'!$B$3:$D$3,0)-1)</f>
        <v>8.5841449510282011E-2</v>
      </c>
      <c r="G10" s="31" cm="1">
        <f t="array" ref="G10">INDEX('02_Common_Size_IS_BS'!$B$4:$P$15, MATCH("Operating Profit (EBIT)",'02_Common_Size_IS_BS'!$A$4:$A$15,0), MATCH(G$2,'02_Common_Size_IS_BS'!$B$2:$P$2,0)+MATCH($B10,'02_Common_Size_IS_BS'!$B$3:$D$3,0)-1)</f>
        <v>3.4860150967371079E-2</v>
      </c>
    </row>
    <row r="11" spans="1:14" x14ac:dyDescent="0.2">
      <c r="A11" s="38" t="s">
        <v>193</v>
      </c>
      <c r="B11" s="39" t="s">
        <v>152</v>
      </c>
      <c r="C11" s="40" cm="1">
        <f t="array" ref="C11">INDEX('02_Common_Size_IS_BS'!$B$4:$P$15, MATCH("Operating Profit (EBIT)",'02_Common_Size_IS_BS'!$A$4:$A$15,0), MATCH(C$2,'02_Common_Size_IS_BS'!$B$2:$P$2,0)+MATCH($B11,'02_Common_Size_IS_BS'!$B$3:$D$3,0)-1)</f>
        <v>7.7038369304556362E-2</v>
      </c>
      <c r="D11" s="40" cm="1">
        <f t="array" ref="D11">INDEX('02_Common_Size_IS_BS'!$B$4:$P$15, MATCH("Operating Profit (EBIT)",'02_Common_Size_IS_BS'!$A$4:$A$15,0), MATCH(D$2,'02_Common_Size_IS_BS'!$B$2:$P$2,0)+MATCH($B11,'02_Common_Size_IS_BS'!$B$3:$D$3,0)-1)</f>
        <v>7.923311234545781E-2</v>
      </c>
      <c r="E11" s="40" cm="1">
        <f t="array" ref="E11">INDEX('02_Common_Size_IS_BS'!$B$4:$P$15, MATCH("Operating Profit (EBIT)",'02_Common_Size_IS_BS'!$A$4:$A$15,0), MATCH(E$2,'02_Common_Size_IS_BS'!$B$2:$P$2,0)+MATCH($B11,'02_Common_Size_IS_BS'!$B$3:$D$3,0)-1)</f>
        <v>7.0050017996549627E-2</v>
      </c>
      <c r="F11" s="40" cm="1">
        <f t="array" ref="F11">INDEX('02_Common_Size_IS_BS'!$B$4:$P$15, MATCH("Operating Profit (EBIT)",'02_Common_Size_IS_BS'!$A$4:$A$15,0), MATCH(F$2,'02_Common_Size_IS_BS'!$B$2:$P$2,0)+MATCH($B11,'02_Common_Size_IS_BS'!$B$3:$D$3,0)-1)</f>
        <v>5.8708294317677788E-2</v>
      </c>
      <c r="G11" s="40" cm="1">
        <f t="array" ref="G11">INDEX('02_Common_Size_IS_BS'!$B$4:$P$15, MATCH("Operating Profit (EBIT)",'02_Common_Size_IS_BS'!$A$4:$A$15,0), MATCH(G$2,'02_Common_Size_IS_BS'!$B$2:$P$2,0)+MATCH($B11,'02_Common_Size_IS_BS'!$B$3:$D$3,0)-1)</f>
        <v>2.7550922143560527E-2</v>
      </c>
    </row>
    <row r="12" spans="1:14" x14ac:dyDescent="0.2">
      <c r="A12" s="37" t="s">
        <v>194</v>
      </c>
      <c r="B12" s="1" t="s">
        <v>150</v>
      </c>
      <c r="C12" s="31" cm="1">
        <f t="array" ref="C12">INDEX('02_Common_Size_IS_BS'!$B$4:$P$15, MATCH("Profit Before Tax (EBT)",'02_Common_Size_IS_BS'!$A$4:$A$15,0), MATCH(C$2,'02_Common_Size_IS_BS'!$B$2:$P$2,0)+MATCH($B12,'02_Common_Size_IS_BS'!$B$3:$D$3,0)-1)</f>
        <v>6.7720217789124099E-2</v>
      </c>
      <c r="D12" s="31" cm="1">
        <f t="array" ref="D12">INDEX('02_Common_Size_IS_BS'!$B$4:$P$15, MATCH("Profit Before Tax (EBT)",'02_Common_Size_IS_BS'!$A$4:$A$15,0), MATCH(D$2,'02_Common_Size_IS_BS'!$B$2:$P$2,0)+MATCH($B12,'02_Common_Size_IS_BS'!$B$3:$D$3,0)-1)</f>
        <v>8.0196747194024712E-2</v>
      </c>
      <c r="E12" s="31" cm="1">
        <f t="array" ref="E12">INDEX('02_Common_Size_IS_BS'!$B$4:$P$15, MATCH("Profit Before Tax (EBT)",'02_Common_Size_IS_BS'!$A$4:$A$15,0), MATCH(E$2,'02_Common_Size_IS_BS'!$B$2:$P$2,0)+MATCH($B12,'02_Common_Size_IS_BS'!$B$3:$D$3,0)-1)</f>
        <v>5.0531175260025582E-2</v>
      </c>
      <c r="F12" s="31" cm="1">
        <f t="array" ref="F12">INDEX('02_Common_Size_IS_BS'!$B$4:$P$15, MATCH("Profit Before Tax (EBT)",'02_Common_Size_IS_BS'!$A$4:$A$15,0), MATCH(F$2,'02_Common_Size_IS_BS'!$B$2:$P$2,0)+MATCH($B12,'02_Common_Size_IS_BS'!$B$3:$D$3,0)-1)</f>
        <v>3.8996553263005974E-2</v>
      </c>
      <c r="G12" s="31" cm="1">
        <f t="array" ref="G12">INDEX('02_Common_Size_IS_BS'!$B$4:$P$15, MATCH("Profit Before Tax (EBT)",'02_Common_Size_IS_BS'!$A$4:$A$15,0), MATCH(G$2,'02_Common_Size_IS_BS'!$B$2:$P$2,0)+MATCH($B12,'02_Common_Size_IS_BS'!$B$3:$D$3,0)-1)</f>
        <v>4.2801477658013259E-2</v>
      </c>
    </row>
    <row r="13" spans="1:14" x14ac:dyDescent="0.2">
      <c r="A13" s="37" t="s">
        <v>194</v>
      </c>
      <c r="B13" s="1" t="s">
        <v>151</v>
      </c>
      <c r="C13" s="31" cm="1">
        <f t="array" ref="C13">INDEX('02_Common_Size_IS_BS'!$B$4:$P$15, MATCH("Profit Before Tax (EBT)",'02_Common_Size_IS_BS'!$A$4:$A$15,0), MATCH(C$2,'02_Common_Size_IS_BS'!$B$2:$P$2,0)+MATCH($B13,'02_Common_Size_IS_BS'!$B$3:$D$3,0)-1)</f>
        <v>0.11808683052885513</v>
      </c>
      <c r="D13" s="31" cm="1">
        <f t="array" ref="D13">INDEX('02_Common_Size_IS_BS'!$B$4:$P$15, MATCH("Profit Before Tax (EBT)",'02_Common_Size_IS_BS'!$A$4:$A$15,0), MATCH(D$2,'02_Common_Size_IS_BS'!$B$2:$P$2,0)+MATCH($B13,'02_Common_Size_IS_BS'!$B$3:$D$3,0)-1)</f>
        <v>0.13534466093842698</v>
      </c>
      <c r="E13" s="31" cm="1">
        <f t="array" ref="E13">INDEX('02_Common_Size_IS_BS'!$B$4:$P$15, MATCH("Profit Before Tax (EBT)",'02_Common_Size_IS_BS'!$A$4:$A$15,0), MATCH(E$2,'02_Common_Size_IS_BS'!$B$2:$P$2,0)+MATCH($B13,'02_Common_Size_IS_BS'!$B$3:$D$3,0)-1)</f>
        <v>0.13108120455821118</v>
      </c>
      <c r="F13" s="31" cm="1">
        <f t="array" ref="F13">INDEX('02_Common_Size_IS_BS'!$B$4:$P$15, MATCH("Profit Before Tax (EBT)",'02_Common_Size_IS_BS'!$A$4:$A$15,0), MATCH(F$2,'02_Common_Size_IS_BS'!$B$2:$P$2,0)+MATCH($B13,'02_Common_Size_IS_BS'!$B$3:$D$3,0)-1)</f>
        <v>9.7167465692267543E-2</v>
      </c>
      <c r="G13" s="31" cm="1">
        <f t="array" ref="G13">INDEX('02_Common_Size_IS_BS'!$B$4:$P$15, MATCH("Profit Before Tax (EBT)",'02_Common_Size_IS_BS'!$A$4:$A$15,0), MATCH(G$2,'02_Common_Size_IS_BS'!$B$2:$P$2,0)+MATCH($B13,'02_Common_Size_IS_BS'!$B$3:$D$3,0)-1)</f>
        <v>4.7529006005415465E-2</v>
      </c>
    </row>
    <row r="14" spans="1:14" x14ac:dyDescent="0.2">
      <c r="A14" s="38" t="s">
        <v>194</v>
      </c>
      <c r="B14" s="39" t="s">
        <v>152</v>
      </c>
      <c r="C14" s="40" cm="1">
        <f t="array" ref="C14">INDEX('02_Common_Size_IS_BS'!$B$4:$P$15, MATCH("Profit Before Tax (EBT)",'02_Common_Size_IS_BS'!$A$4:$A$15,0), MATCH(C$2,'02_Common_Size_IS_BS'!$B$2:$P$2,0)+MATCH($B14,'02_Common_Size_IS_BS'!$B$3:$D$3,0)-1)</f>
        <v>8.0435651478816941E-2</v>
      </c>
      <c r="D14" s="40" cm="1">
        <f t="array" ref="D14">INDEX('02_Common_Size_IS_BS'!$B$4:$P$15, MATCH("Profit Before Tax (EBT)",'02_Common_Size_IS_BS'!$A$4:$A$15,0), MATCH(D$2,'02_Common_Size_IS_BS'!$B$2:$P$2,0)+MATCH($B14,'02_Common_Size_IS_BS'!$B$3:$D$3,0)-1)</f>
        <v>7.9093352445798237E-2</v>
      </c>
      <c r="E14" s="40" cm="1">
        <f t="array" ref="E14">INDEX('02_Common_Size_IS_BS'!$B$4:$P$15, MATCH("Profit Before Tax (EBT)",'02_Common_Size_IS_BS'!$A$4:$A$15,0), MATCH(E$2,'02_Common_Size_IS_BS'!$B$2:$P$2,0)+MATCH($B14,'02_Common_Size_IS_BS'!$B$3:$D$3,0)-1)</f>
        <v>7.1967581387844259E-2</v>
      </c>
      <c r="F14" s="40" cm="1">
        <f t="array" ref="F14">INDEX('02_Common_Size_IS_BS'!$B$4:$P$15, MATCH("Profit Before Tax (EBT)",'02_Common_Size_IS_BS'!$A$4:$A$15,0), MATCH(F$2,'02_Common_Size_IS_BS'!$B$2:$P$2,0)+MATCH($B14,'02_Common_Size_IS_BS'!$B$3:$D$3,0)-1)</f>
        <v>5.1765561086195851E-2</v>
      </c>
      <c r="G14" s="40" cm="1">
        <f t="array" ref="G14">INDEX('02_Common_Size_IS_BS'!$B$4:$P$15, MATCH("Profit Before Tax (EBT)",'02_Common_Size_IS_BS'!$A$4:$A$15,0), MATCH(G$2,'02_Common_Size_IS_BS'!$B$2:$P$2,0)+MATCH($B14,'02_Common_Size_IS_BS'!$B$3:$D$3,0)-1)</f>
        <v>2.8914644640011433E-2</v>
      </c>
    </row>
    <row r="15" spans="1:14" x14ac:dyDescent="0.2">
      <c r="A15" s="37" t="s">
        <v>59</v>
      </c>
      <c r="B15" s="1" t="s">
        <v>150</v>
      </c>
      <c r="C15" s="31" cm="1">
        <f t="array" ref="C15">INDEX('02_Common_Size_IS_BS'!$B$21:$P$41, MATCH("Total Current Assets",'02_Common_Size_IS_BS'!$A$21:$A$41,0), MATCH(C$2,'02_Common_Size_IS_BS'!$B$19:$P$19,0)+MATCH($B15,'02_Common_Size_IS_BS'!$B$20:$D$20,0)-1)</f>
        <v>0.69602040027818557</v>
      </c>
      <c r="D15" s="31" cm="1">
        <f t="array" ref="D15">INDEX('02_Common_Size_IS_BS'!$B$21:$P$41, MATCH("Total Current Assets",'02_Common_Size_IS_BS'!$A$21:$A$41,0), MATCH(D$2,'02_Common_Size_IS_BS'!$B$19:$P$19,0)+MATCH($B15,'02_Common_Size_IS_BS'!$B$20:$D$20,0)-1)</f>
        <v>0.61716706116855613</v>
      </c>
      <c r="E15" s="31" cm="1">
        <f t="array" ref="E15">INDEX('02_Common_Size_IS_BS'!$B$21:$P$41, MATCH("Total Current Assets",'02_Common_Size_IS_BS'!$A$21:$A$41,0), MATCH(E$2,'02_Common_Size_IS_BS'!$B$19:$P$19,0)+MATCH($B15,'02_Common_Size_IS_BS'!$B$20:$D$20,0)-1)</f>
        <v>0.56354682708185888</v>
      </c>
      <c r="F15" s="31" cm="1">
        <f t="array" ref="F15">INDEX('02_Common_Size_IS_BS'!$B$21:$P$41, MATCH("Total Current Assets",'02_Common_Size_IS_BS'!$A$21:$A$41,0), MATCH(F$2,'02_Common_Size_IS_BS'!$B$19:$P$19,0)+MATCH($B15,'02_Common_Size_IS_BS'!$B$20:$D$20,0)-1)</f>
        <v>0.54402884182063993</v>
      </c>
      <c r="G15" s="31" cm="1">
        <f t="array" ref="G15">INDEX('02_Common_Size_IS_BS'!$B$21:$P$41, MATCH("Total Current Assets",'02_Common_Size_IS_BS'!$A$21:$A$41,0), MATCH(G$2,'02_Common_Size_IS_BS'!$B$19:$P$19,0)+MATCH($B15,'02_Common_Size_IS_BS'!$B$20:$D$20,0)-1)</f>
        <v>0.56205541532813219</v>
      </c>
    </row>
    <row r="16" spans="1:14" x14ac:dyDescent="0.2">
      <c r="A16" s="37" t="s">
        <v>59</v>
      </c>
      <c r="B16" s="1" t="s">
        <v>151</v>
      </c>
      <c r="C16" s="31" cm="1">
        <f t="array" ref="C16">INDEX('02_Common_Size_IS_BS'!$B$21:$P$41, MATCH("Total Current Assets",'02_Common_Size_IS_BS'!$A$21:$A$41,0), MATCH(C$2,'02_Common_Size_IS_BS'!$B$19:$P$19,0)+MATCH($B16,'02_Common_Size_IS_BS'!$B$20:$D$20,0)-1)</f>
        <v>0.39613825909918371</v>
      </c>
      <c r="D16" s="31" cm="1">
        <f t="array" ref="D16">INDEX('02_Common_Size_IS_BS'!$B$21:$P$41, MATCH("Total Current Assets",'02_Common_Size_IS_BS'!$A$21:$A$41,0), MATCH(D$2,'02_Common_Size_IS_BS'!$B$19:$P$19,0)+MATCH($B16,'02_Common_Size_IS_BS'!$B$20:$D$20,0)-1)</f>
        <v>0.39564640501509529</v>
      </c>
      <c r="E16" s="31" cm="1">
        <f t="array" ref="E16">INDEX('02_Common_Size_IS_BS'!$B$21:$P$41, MATCH("Total Current Assets",'02_Common_Size_IS_BS'!$A$21:$A$41,0), MATCH(E$2,'02_Common_Size_IS_BS'!$B$19:$P$19,0)+MATCH($B16,'02_Common_Size_IS_BS'!$B$20:$D$20,0)-1)</f>
        <v>0.39552584954870695</v>
      </c>
      <c r="F16" s="31" cm="1">
        <f t="array" ref="F16">INDEX('02_Common_Size_IS_BS'!$B$21:$P$41, MATCH("Total Current Assets",'02_Common_Size_IS_BS'!$A$21:$A$41,0), MATCH(F$2,'02_Common_Size_IS_BS'!$B$19:$P$19,0)+MATCH($B16,'02_Common_Size_IS_BS'!$B$20:$D$20,0)-1)</f>
        <v>0.38401192407833667</v>
      </c>
      <c r="G16" s="31" cm="1">
        <f t="array" ref="G16">INDEX('02_Common_Size_IS_BS'!$B$21:$P$41, MATCH("Total Current Assets",'02_Common_Size_IS_BS'!$A$21:$A$41,0), MATCH(G$2,'02_Common_Size_IS_BS'!$B$19:$P$19,0)+MATCH($B16,'02_Common_Size_IS_BS'!$B$20:$D$20,0)-1)</f>
        <v>0.39978705581173229</v>
      </c>
    </row>
    <row r="17" spans="1:7" x14ac:dyDescent="0.2">
      <c r="A17" s="38" t="s">
        <v>59</v>
      </c>
      <c r="B17" s="39" t="s">
        <v>152</v>
      </c>
      <c r="C17" s="40" cm="1">
        <f t="array" ref="C17">INDEX('02_Common_Size_IS_BS'!$B$21:$P$41, MATCH("Total Current Assets",'02_Common_Size_IS_BS'!$A$21:$A$41,0), MATCH(C$2,'02_Common_Size_IS_BS'!$B$19:$P$19,0)+MATCH($B17,'02_Common_Size_IS_BS'!$B$20:$D$20,0)-1)</f>
        <v>0.37900792457184801</v>
      </c>
      <c r="D17" s="40" cm="1">
        <f t="array" ref="D17">INDEX('02_Common_Size_IS_BS'!$B$21:$P$41, MATCH("Total Current Assets",'02_Common_Size_IS_BS'!$A$21:$A$41,0), MATCH(D$2,'02_Common_Size_IS_BS'!$B$19:$P$19,0)+MATCH($B17,'02_Common_Size_IS_BS'!$B$20:$D$20,0)-1)</f>
        <v>0.39743587470501568</v>
      </c>
      <c r="E17" s="40" cm="1">
        <f t="array" ref="E17">INDEX('02_Common_Size_IS_BS'!$B$21:$P$41, MATCH("Total Current Assets",'02_Common_Size_IS_BS'!$A$21:$A$41,0), MATCH(E$2,'02_Common_Size_IS_BS'!$B$19:$P$19,0)+MATCH($B17,'02_Common_Size_IS_BS'!$B$20:$D$20,0)-1)</f>
        <v>0.3991817942559025</v>
      </c>
      <c r="F17" s="40" cm="1">
        <f t="array" ref="F17">INDEX('02_Common_Size_IS_BS'!$B$21:$P$41, MATCH("Total Current Assets",'02_Common_Size_IS_BS'!$A$21:$A$41,0), MATCH(F$2,'02_Common_Size_IS_BS'!$B$19:$P$19,0)+MATCH($B17,'02_Common_Size_IS_BS'!$B$20:$D$20,0)-1)</f>
        <v>0.38746889343582369</v>
      </c>
      <c r="G17" s="40" cm="1">
        <f t="array" ref="G17">INDEX('02_Common_Size_IS_BS'!$B$21:$P$41, MATCH("Total Current Assets",'02_Common_Size_IS_BS'!$A$21:$A$41,0), MATCH(G$2,'02_Common_Size_IS_BS'!$B$19:$P$19,0)+MATCH($B17,'02_Common_Size_IS_BS'!$B$20:$D$20,0)-1)</f>
        <v>0.38460464228579588</v>
      </c>
    </row>
    <row r="18" spans="1:7" x14ac:dyDescent="0.2">
      <c r="A18" s="37" t="s">
        <v>53</v>
      </c>
      <c r="B18" s="1" t="s">
        <v>150</v>
      </c>
      <c r="C18" s="31" cm="1">
        <f t="array" ref="C18">INDEX('02_Common_Size_IS_BS'!$B$21:$P$41, MATCH("Total Equity",'02_Common_Size_IS_BS'!$A$21:$A$41,0), MATCH(C$2,'02_Common_Size_IS_BS'!$B$19:$P$19,0)+MATCH($B18,'02_Common_Size_IS_BS'!$B$20:$D$20,0)-1)</f>
        <v>0.29251217062050844</v>
      </c>
      <c r="D18" s="31" cm="1">
        <f t="array" ref="D18">INDEX('02_Common_Size_IS_BS'!$B$21:$P$41, MATCH("Total Equity",'02_Common_Size_IS_BS'!$A$21:$A$41,0), MATCH(D$2,'02_Common_Size_IS_BS'!$B$19:$P$19,0)+MATCH($B18,'02_Common_Size_IS_BS'!$B$20:$D$20,0)-1)</f>
        <v>0.27986102459753887</v>
      </c>
      <c r="E18" s="31" cm="1">
        <f t="array" ref="E18">INDEX('02_Common_Size_IS_BS'!$B$21:$P$41, MATCH("Total Equity",'02_Common_Size_IS_BS'!$A$21:$A$41,0), MATCH(E$2,'02_Common_Size_IS_BS'!$B$19:$P$19,0)+MATCH($B18,'02_Common_Size_IS_BS'!$B$20:$D$20,0)-1)</f>
        <v>0.26439018636470868</v>
      </c>
      <c r="F18" s="31" cm="1">
        <f t="array" ref="F18">INDEX('02_Common_Size_IS_BS'!$B$21:$P$41, MATCH("Total Equity",'02_Common_Size_IS_BS'!$A$21:$A$41,0), MATCH(F$2,'02_Common_Size_IS_BS'!$B$19:$P$19,0)+MATCH($B18,'02_Common_Size_IS_BS'!$B$20:$D$20,0)-1)</f>
        <v>0.25048820790145709</v>
      </c>
      <c r="G18" s="31" cm="1">
        <f t="array" ref="G18">INDEX('02_Common_Size_IS_BS'!$B$21:$P$41, MATCH("Total Equity",'02_Common_Size_IS_BS'!$A$21:$A$41,0), MATCH(G$2,'02_Common_Size_IS_BS'!$B$19:$P$19,0)+MATCH($B18,'02_Common_Size_IS_BS'!$B$20:$D$20,0)-1)</f>
        <v>0.24024782010096374</v>
      </c>
    </row>
    <row r="19" spans="1:7" x14ac:dyDescent="0.2">
      <c r="A19" s="37" t="s">
        <v>53</v>
      </c>
      <c r="B19" s="1" t="s">
        <v>151</v>
      </c>
      <c r="C19" s="31" cm="1">
        <f t="array" ref="C19">INDEX('02_Common_Size_IS_BS'!$B$21:$P$41, MATCH("Total Equity",'02_Common_Size_IS_BS'!$A$21:$A$41,0), MATCH(C$2,'02_Common_Size_IS_BS'!$B$19:$P$19,0)+MATCH($B19,'02_Common_Size_IS_BS'!$B$20:$D$20,0)-1)</f>
        <v>0.28159457493524637</v>
      </c>
      <c r="D19" s="31" cm="1">
        <f t="array" ref="D19">INDEX('02_Common_Size_IS_BS'!$B$21:$P$41, MATCH("Total Equity",'02_Common_Size_IS_BS'!$A$21:$A$41,0), MATCH(D$2,'02_Common_Size_IS_BS'!$B$19:$P$19,0)+MATCH($B19,'02_Common_Size_IS_BS'!$B$20:$D$20,0)-1)</f>
        <v>0.33282695229121395</v>
      </c>
      <c r="E19" s="31" cm="1">
        <f t="array" ref="E19">INDEX('02_Common_Size_IS_BS'!$B$21:$P$41, MATCH("Total Equity",'02_Common_Size_IS_BS'!$A$21:$A$41,0), MATCH(E$2,'02_Common_Size_IS_BS'!$B$19:$P$19,0)+MATCH($B19,'02_Common_Size_IS_BS'!$B$20:$D$20,0)-1)</f>
        <v>0.35288302879607031</v>
      </c>
      <c r="F19" s="31" cm="1">
        <f t="array" ref="F19">INDEX('02_Common_Size_IS_BS'!$B$21:$P$41, MATCH("Total Equity",'02_Common_Size_IS_BS'!$A$21:$A$41,0), MATCH(F$2,'02_Common_Size_IS_BS'!$B$19:$P$19,0)+MATCH($B19,'02_Common_Size_IS_BS'!$B$20:$D$20,0)-1)</f>
        <v>0.35330742236142032</v>
      </c>
      <c r="G19" s="31" cm="1">
        <f t="array" ref="G19">INDEX('02_Common_Size_IS_BS'!$B$21:$P$41, MATCH("Total Equity",'02_Common_Size_IS_BS'!$A$21:$A$41,0), MATCH(G$2,'02_Common_Size_IS_BS'!$B$19:$P$19,0)+MATCH($B19,'02_Common_Size_IS_BS'!$B$20:$D$20,0)-1)</f>
        <v>0.36889449085201159</v>
      </c>
    </row>
    <row r="20" spans="1:7" x14ac:dyDescent="0.2">
      <c r="A20" s="38" t="s">
        <v>53</v>
      </c>
      <c r="B20" s="39" t="s">
        <v>152</v>
      </c>
      <c r="C20" s="40" cm="1">
        <f t="array" ref="C20">INDEX('02_Common_Size_IS_BS'!$B$21:$P$41, MATCH("Total Equity",'02_Common_Size_IS_BS'!$A$21:$A$41,0), MATCH(C$2,'02_Common_Size_IS_BS'!$B$19:$P$19,0)+MATCH($B20,'02_Common_Size_IS_BS'!$B$20:$D$20,0)-1)</f>
        <v>0.2764879145076985</v>
      </c>
      <c r="D20" s="40" cm="1">
        <f t="array" ref="D20">INDEX('02_Common_Size_IS_BS'!$B$21:$P$41, MATCH("Total Equity",'02_Common_Size_IS_BS'!$A$21:$A$41,0), MATCH(D$2,'02_Common_Size_IS_BS'!$B$19:$P$19,0)+MATCH($B20,'02_Common_Size_IS_BS'!$B$20:$D$20,0)-1)</f>
        <v>0.31617710939286858</v>
      </c>
      <c r="E20" s="40" cm="1">
        <f t="array" ref="E20">INDEX('02_Common_Size_IS_BS'!$B$21:$P$41, MATCH("Total Equity",'02_Common_Size_IS_BS'!$A$21:$A$41,0), MATCH(E$2,'02_Common_Size_IS_BS'!$B$19:$P$19,0)+MATCH($B20,'02_Common_Size_IS_BS'!$B$20:$D$20,0)-1)</f>
        <v>0.31634179412264424</v>
      </c>
      <c r="F20" s="40" cm="1">
        <f t="array" ref="F20">INDEX('02_Common_Size_IS_BS'!$B$21:$P$41, MATCH("Total Equity",'02_Common_Size_IS_BS'!$A$21:$A$41,0), MATCH(F$2,'02_Common_Size_IS_BS'!$B$19:$P$19,0)+MATCH($B20,'02_Common_Size_IS_BS'!$B$20:$D$20,0)-1)</f>
        <v>0.31083811946500661</v>
      </c>
      <c r="G20" s="40" cm="1">
        <f t="array" ref="G20">INDEX('02_Common_Size_IS_BS'!$B$21:$P$41, MATCH("Total Equity",'02_Common_Size_IS_BS'!$A$21:$A$41,0), MATCH(G$2,'02_Common_Size_IS_BS'!$B$19:$P$19,0)+MATCH($B20,'02_Common_Size_IS_BS'!$B$20:$D$20,0)-1)</f>
        <v>0.31507276555665381</v>
      </c>
    </row>
    <row r="21" spans="1:7" x14ac:dyDescent="0.2">
      <c r="A21" s="37" t="s">
        <v>181</v>
      </c>
      <c r="B21" s="1" t="s">
        <v>150</v>
      </c>
      <c r="C21" s="31" cm="1">
        <f t="array" ref="C21">INDEX('03_Ratios'!$B$21:$P$25, MATCH("Net Profit Margin",'03_Ratios'!$A$21:$A$25,0), MATCH(C$2,'03_Ratios'!$B$19:$P$19,0)+MATCH($B21,'03_Ratios'!$B$20:$D$20,0)-1)</f>
        <v>5.5463931500350179E-2</v>
      </c>
      <c r="D21" s="31" cm="1">
        <f t="array" ref="D21">INDEX('03_Ratios'!$B$21:$P$25, MATCH("Net Profit Margin",'03_Ratios'!$A$21:$A$25,0), MATCH(D$2,'03_Ratios'!$B$19:$P$19,0)+MATCH($B21,'03_Ratios'!$B$20:$D$20,0)-1)</f>
        <v>6.3871992874998729E-2</v>
      </c>
      <c r="E21" s="31" cm="1">
        <f t="array" ref="E21">INDEX('03_Ratios'!$B$21:$P$25, MATCH("Net Profit Margin",'03_Ratios'!$A$21:$A$25,0), MATCH(E$2,'03_Ratios'!$B$19:$P$19,0)+MATCH($B21,'03_Ratios'!$B$20:$D$20,0)-1)</f>
        <v>4.0473144594619648E-2</v>
      </c>
      <c r="F21" s="31" cm="1">
        <f t="array" ref="F21">INDEX('03_Ratios'!$B$21:$P$25, MATCH("Net Profit Margin",'03_Ratios'!$A$21:$A$25,0), MATCH(F$2,'03_Ratios'!$B$19:$P$19,0)+MATCH($B21,'03_Ratios'!$B$20:$D$20,0)-1)</f>
        <v>3.3460884757446567E-2</v>
      </c>
      <c r="G21" s="31" cm="1">
        <f t="array" ref="G21">INDEX('03_Ratios'!$B$21:$P$25, MATCH("Net Profit Margin",'03_Ratios'!$A$21:$A$25,0), MATCH(G$2,'03_Ratios'!$B$19:$P$19,0)+MATCH($B21,'03_Ratios'!$B$20:$D$20,0)-1)</f>
        <v>3.9744952178533473E-2</v>
      </c>
    </row>
    <row r="22" spans="1:7" x14ac:dyDescent="0.2">
      <c r="A22" s="37" t="s">
        <v>181</v>
      </c>
      <c r="B22" s="1" t="s">
        <v>151</v>
      </c>
      <c r="C22" s="31" cm="1">
        <f t="array" ref="C22">INDEX('03_Ratios'!$B$21:$P$25, MATCH("Net Profit Margin",'03_Ratios'!$A$21:$A$25,0), MATCH(C$2,'03_Ratios'!$B$19:$P$19,0)+MATCH($B22,'03_Ratios'!$B$20:$D$20,0)-1)</f>
        <v>0.17473654335924954</v>
      </c>
      <c r="D22" s="31" cm="1">
        <f t="array" ref="D22">INDEX('03_Ratios'!$B$21:$P$25, MATCH("Net Profit Margin",'03_Ratios'!$A$21:$A$25,0), MATCH(D$2,'03_Ratios'!$B$19:$P$19,0)+MATCH($B22,'03_Ratios'!$B$20:$D$20,0)-1)</f>
        <v>9.8715478912389923E-2</v>
      </c>
      <c r="E22" s="31" cm="1">
        <f t="array" ref="E22">INDEX('03_Ratios'!$B$21:$P$25, MATCH("Net Profit Margin",'03_Ratios'!$A$21:$A$25,0), MATCH(E$2,'03_Ratios'!$B$19:$P$19,0)+MATCH($B22,'03_Ratios'!$B$20:$D$20,0)-1)</f>
        <v>9.4838726520382721E-2</v>
      </c>
      <c r="F22" s="31" cm="1">
        <f t="array" ref="F22">INDEX('03_Ratios'!$B$21:$P$25, MATCH("Net Profit Margin",'03_Ratios'!$A$21:$A$25,0), MATCH(F$2,'03_Ratios'!$B$19:$P$19,0)+MATCH($B22,'03_Ratios'!$B$20:$D$20,0)-1)</f>
        <v>7.1493330769125105E-2</v>
      </c>
      <c r="G22" s="31" cm="1">
        <f t="array" ref="G22">INDEX('03_Ratios'!$B$21:$P$25, MATCH("Net Profit Margin",'03_Ratios'!$A$21:$A$25,0), MATCH(G$2,'03_Ratios'!$B$19:$P$19,0)+MATCH($B22,'03_Ratios'!$B$20:$D$20,0)-1)</f>
        <v>4.0320994750934092E-2</v>
      </c>
    </row>
    <row r="23" spans="1:7" x14ac:dyDescent="0.2">
      <c r="A23" s="38" t="s">
        <v>181</v>
      </c>
      <c r="B23" s="39" t="s">
        <v>152</v>
      </c>
      <c r="C23" s="40" cm="1">
        <f t="array" ref="C23">INDEX('03_Ratios'!$B$21:$P$25, MATCH("Net Profit Margin",'03_Ratios'!$A$21:$A$25,0), MATCH(C$2,'03_Ratios'!$B$19:$P$19,0)+MATCH($B23,'03_Ratios'!$B$20:$D$20,0)-1)</f>
        <v>6.1658673061550762E-2</v>
      </c>
      <c r="D23" s="40" cm="1">
        <f t="array" ref="D23">INDEX('03_Ratios'!$B$21:$P$25, MATCH("Net Profit Margin",'03_Ratios'!$A$21:$A$25,0), MATCH(D$2,'03_Ratios'!$B$19:$P$19,0)+MATCH($B23,'03_Ratios'!$B$20:$D$20,0)-1)</f>
        <v>5.6814191005196205E-2</v>
      </c>
      <c r="E23" s="40" cm="1">
        <f t="array" ref="E23">INDEX('03_Ratios'!$B$21:$P$25, MATCH("Net Profit Margin",'03_Ratios'!$A$21:$A$25,0), MATCH(E$2,'03_Ratios'!$B$19:$P$19,0)+MATCH($B23,'03_Ratios'!$B$20:$D$20,0)-1)</f>
        <v>5.5627955467848232E-2</v>
      </c>
      <c r="F23" s="40" cm="1">
        <f t="array" ref="F23">INDEX('03_Ratios'!$B$21:$P$25, MATCH("Net Profit Margin",'03_Ratios'!$A$21:$A$25,0), MATCH(F$2,'03_Ratios'!$B$19:$P$19,0)+MATCH($B23,'03_Ratios'!$B$20:$D$20,0)-1)</f>
        <v>3.8178872406485632E-2</v>
      </c>
      <c r="G23" s="40" cm="1">
        <f t="array" ref="G23">INDEX('03_Ratios'!$B$21:$P$25, MATCH("Net Profit Margin",'03_Ratios'!$A$21:$A$25,0), MATCH(G$2,'03_Ratios'!$B$19:$P$19,0)+MATCH($B23,'03_Ratios'!$B$20:$D$20,0)-1)</f>
        <v>2.1449894847365591E-2</v>
      </c>
    </row>
    <row r="24" spans="1:7" x14ac:dyDescent="0.2">
      <c r="A24" s="37" t="s">
        <v>185</v>
      </c>
      <c r="B24" s="1" t="s">
        <v>150</v>
      </c>
      <c r="C24" s="31" cm="1">
        <f t="array" ref="C24">INDEX('03_Ratios'!$B$21:$P$25, MATCH("Asset Turnover",'03_Ratios'!$A$21:$A$25,0), MATCH(C$2,'03_Ratios'!$B$19:$P$19,0)+MATCH($B24,'03_Ratios'!$B$20:$D$20,0)-1)</f>
        <v>1.4471535412154155</v>
      </c>
      <c r="D24" s="31" cm="1">
        <f t="array" ref="D24">INDEX('03_Ratios'!$B$21:$P$25, MATCH("Asset Turnover",'03_Ratios'!$A$21:$A$25,0), MATCH(D$2,'03_Ratios'!$B$19:$P$19,0)+MATCH($B24,'03_Ratios'!$B$20:$D$20,0)-1)</f>
        <v>1.4429856587901977</v>
      </c>
      <c r="E24" s="31" cm="1">
        <f t="array" ref="E24">INDEX('03_Ratios'!$B$21:$P$25, MATCH("Asset Turnover",'03_Ratios'!$A$21:$A$25,0), MATCH(E$2,'03_Ratios'!$B$19:$P$19,0)+MATCH($B24,'03_Ratios'!$B$20:$D$20,0)-1)</f>
        <v>1.5403199897192059</v>
      </c>
      <c r="F24" s="31" cm="1">
        <f t="array" ref="F24">INDEX('03_Ratios'!$B$21:$P$25, MATCH("Asset Turnover",'03_Ratios'!$A$21:$A$25,0), MATCH(F$2,'03_Ratios'!$B$19:$P$19,0)+MATCH($B24,'03_Ratios'!$B$20:$D$20,0)-1)</f>
        <v>1.5672872300846763</v>
      </c>
      <c r="G24" s="31" cm="1">
        <f t="array" ref="G24">INDEX('03_Ratios'!$B$21:$P$25, MATCH("Asset Turnover",'03_Ratios'!$A$21:$A$25,0), MATCH(G$2,'03_Ratios'!$B$19:$P$19,0)+MATCH($B24,'03_Ratios'!$B$20:$D$20,0)-1)</f>
        <v>1.4498378552876785</v>
      </c>
    </row>
    <row r="25" spans="1:7" x14ac:dyDescent="0.2">
      <c r="A25" s="37" t="s">
        <v>185</v>
      </c>
      <c r="B25" s="1" t="s">
        <v>151</v>
      </c>
      <c r="C25" s="31" cm="1">
        <f t="array" ref="C25">INDEX('03_Ratios'!$B$21:$P$25, MATCH("Asset Turnover",'03_Ratios'!$A$21:$A$25,0), MATCH(C$2,'03_Ratios'!$B$19:$P$19,0)+MATCH($B25,'03_Ratios'!$B$20:$D$20,0)-1)</f>
        <v>0.49083890550765441</v>
      </c>
      <c r="D25" s="31" cm="1">
        <f t="array" ref="D25">INDEX('03_Ratios'!$B$21:$P$25, MATCH("Asset Turnover",'03_Ratios'!$A$21:$A$25,0), MATCH(D$2,'03_Ratios'!$B$19:$P$19,0)+MATCH($B25,'03_Ratios'!$B$20:$D$20,0)-1)</f>
        <v>0.57715938951150914</v>
      </c>
      <c r="E25" s="31" cm="1">
        <f t="array" ref="E25">INDEX('03_Ratios'!$B$21:$P$25, MATCH("Asset Turnover",'03_Ratios'!$A$21:$A$25,0), MATCH(E$2,'03_Ratios'!$B$19:$P$19,0)+MATCH($B25,'03_Ratios'!$B$20:$D$20,0)-1)</f>
        <v>0.58587824570728264</v>
      </c>
      <c r="F25" s="31" cm="1">
        <f t="array" ref="F25">INDEX('03_Ratios'!$B$21:$P$25, MATCH("Asset Turnover",'03_Ratios'!$A$21:$A$25,0), MATCH(F$2,'03_Ratios'!$B$19:$P$19,0)+MATCH($B25,'03_Ratios'!$B$20:$D$20,0)-1)</f>
        <v>0.55145900248469792</v>
      </c>
      <c r="G25" s="31" cm="1">
        <f t="array" ref="G25">INDEX('03_Ratios'!$B$21:$P$25, MATCH("Asset Turnover",'03_Ratios'!$A$21:$A$25,0), MATCH(G$2,'03_Ratios'!$B$19:$P$19,0)+MATCH($B25,'03_Ratios'!$B$20:$D$20,0)-1)</f>
        <v>0.50805032316571752</v>
      </c>
    </row>
    <row r="26" spans="1:7" x14ac:dyDescent="0.2">
      <c r="A26" s="38" t="s">
        <v>185</v>
      </c>
      <c r="B26" s="39" t="s">
        <v>152</v>
      </c>
      <c r="C26" s="40" cm="1">
        <f t="array" ref="C26">INDEX('03_Ratios'!$B$21:$P$25, MATCH("Asset Turnover",'03_Ratios'!$A$21:$A$25,0), MATCH(C$2,'03_Ratios'!$B$19:$P$19,0)+MATCH($B26,'03_Ratios'!$B$20:$D$20,0)-1)</f>
        <v>0.487851008508145</v>
      </c>
      <c r="D26" s="40" cm="1">
        <f t="array" ref="D26">INDEX('03_Ratios'!$B$21:$P$25, MATCH("Asset Turnover",'03_Ratios'!$A$21:$A$25,0), MATCH(D$2,'03_Ratios'!$B$19:$P$19,0)+MATCH($B26,'03_Ratios'!$B$20:$D$20,0)-1)</f>
        <v>0.51078964179743769</v>
      </c>
      <c r="E26" s="40" cm="1">
        <f t="array" ref="E26">INDEX('03_Ratios'!$B$21:$P$25, MATCH("Asset Turnover",'03_Ratios'!$A$21:$A$25,0), MATCH(E$2,'03_Ratios'!$B$19:$P$19,0)+MATCH($B26,'03_Ratios'!$B$20:$D$20,0)-1)</f>
        <v>0.55358564556564127</v>
      </c>
      <c r="F26" s="40" cm="1">
        <f t="array" ref="F26">INDEX('03_Ratios'!$B$21:$P$25, MATCH("Asset Turnover",'03_Ratios'!$A$21:$A$25,0), MATCH(F$2,'03_Ratios'!$B$19:$P$19,0)+MATCH($B26,'03_Ratios'!$B$20:$D$20,0)-1)</f>
        <v>0.52650775232456215</v>
      </c>
      <c r="G26" s="40" cm="1">
        <f t="array" ref="G26">INDEX('03_Ratios'!$B$21:$P$25, MATCH("Asset Turnover",'03_Ratios'!$A$21:$A$25,0), MATCH(G$2,'03_Ratios'!$B$19:$P$19,0)+MATCH($B26,'03_Ratios'!$B$20:$D$20,0)-1)</f>
        <v>0.50402388654205665</v>
      </c>
    </row>
    <row r="27" spans="1:7" x14ac:dyDescent="0.2">
      <c r="A27" s="37" t="s">
        <v>199</v>
      </c>
      <c r="B27" s="1" t="s">
        <v>150</v>
      </c>
      <c r="C27" s="31" cm="1">
        <f t="array" ref="C27">INDEX('03_Ratios'!$B$21:$P$25, MATCH("Return on Equity",'03_Ratios'!$A$21:$A$25,0), MATCH(C$2,'03_Ratios'!$B$19:$P$19,0)+MATCH($B27,'03_Ratios'!$B$20:$D$20,0)-1)</f>
        <v>0.27439824028584714</v>
      </c>
      <c r="D27" s="31" cm="1">
        <f t="array" ref="D27">INDEX('03_Ratios'!$B$21:$P$25, MATCH("Return on Equity",'03_Ratios'!$A$21:$A$25,0), MATCH(D$2,'03_Ratios'!$B$19:$P$19,0)+MATCH($B27,'03_Ratios'!$B$20:$D$20,0)-1)</f>
        <v>0.329329065558575</v>
      </c>
      <c r="E27" s="31" cm="1">
        <f t="array" ref="E27">INDEX('03_Ratios'!$B$21:$P$25, MATCH("Return on Equity",'03_Ratios'!$A$21:$A$25,0), MATCH(E$2,'03_Ratios'!$B$19:$P$19,0)+MATCH($B27,'03_Ratios'!$B$20:$D$20,0)-1)</f>
        <v>0.23579390189578514</v>
      </c>
      <c r="F27" s="31" cm="1">
        <f t="array" ref="F27">INDEX('03_Ratios'!$B$21:$P$25, MATCH("Return on Equity",'03_Ratios'!$A$21:$A$25,0), MATCH(F$2,'03_Ratios'!$B$19:$P$19,0)+MATCH($B27,'03_Ratios'!$B$20:$D$20,0)-1)</f>
        <v>0.20936241999987551</v>
      </c>
      <c r="G27" s="31" cm="1">
        <f t="array" ref="G27">INDEX('03_Ratios'!$B$21:$P$25, MATCH("Return on Equity",'03_Ratios'!$A$21:$A$25,0), MATCH(G$2,'03_Ratios'!$B$19:$P$19,0)+MATCH($B27,'03_Ratios'!$B$20:$D$20,0)-1)</f>
        <v>0.23985123444957812</v>
      </c>
    </row>
    <row r="28" spans="1:7" x14ac:dyDescent="0.2">
      <c r="A28" s="37" t="s">
        <v>199</v>
      </c>
      <c r="B28" s="1" t="s">
        <v>151</v>
      </c>
      <c r="C28" s="31" cm="1">
        <f t="array" ref="C28">INDEX('03_Ratios'!$B$21:$P$25, MATCH("Return on Equity",'03_Ratios'!$A$21:$A$25,0), MATCH(C$2,'03_Ratios'!$B$19:$P$19,0)+MATCH($B28,'03_Ratios'!$B$20:$D$20,0)-1)</f>
        <v>0.30457793341497208</v>
      </c>
      <c r="D28" s="31" cm="1">
        <f t="array" ref="D28">INDEX('03_Ratios'!$B$21:$P$25, MATCH("Return on Equity",'03_Ratios'!$A$21:$A$25,0), MATCH(D$2,'03_Ratios'!$B$19:$P$19,0)+MATCH($B28,'03_Ratios'!$B$20:$D$20,0)-1)</f>
        <v>0.17118374924924989</v>
      </c>
      <c r="E28" s="31" cm="1">
        <f t="array" ref="E28">INDEX('03_Ratios'!$B$21:$P$25, MATCH("Return on Equity",'03_Ratios'!$A$21:$A$25,0), MATCH(E$2,'03_Ratios'!$B$19:$P$19,0)+MATCH($B28,'03_Ratios'!$B$20:$D$20,0)-1)</f>
        <v>0.15745712370595399</v>
      </c>
      <c r="F28" s="31" cm="1">
        <f t="array" ref="F28">INDEX('03_Ratios'!$B$21:$P$25, MATCH("Return on Equity",'03_Ratios'!$A$21:$A$25,0), MATCH(F$2,'03_Ratios'!$B$19:$P$19,0)+MATCH($B28,'03_Ratios'!$B$20:$D$20,0)-1)</f>
        <v>0.11159018569929542</v>
      </c>
      <c r="G28" s="31" cm="1">
        <f t="array" ref="G28">INDEX('03_Ratios'!$B$21:$P$25, MATCH("Return on Equity",'03_Ratios'!$A$21:$A$25,0), MATCH(G$2,'03_Ratios'!$B$19:$P$19,0)+MATCH($B28,'03_Ratios'!$B$20:$D$20,0)-1)</f>
        <v>5.5531039149601218E-2</v>
      </c>
    </row>
    <row r="29" spans="1:7" x14ac:dyDescent="0.2">
      <c r="A29" s="38" t="s">
        <v>199</v>
      </c>
      <c r="B29" s="39" t="s">
        <v>152</v>
      </c>
      <c r="C29" s="40" cm="1">
        <f t="array" ref="C29">INDEX('03_Ratios'!$B$21:$P$25, MATCH("Return on Equity",'03_Ratios'!$A$21:$A$25,0), MATCH(C$2,'03_Ratios'!$B$19:$P$19,0)+MATCH($B29,'03_Ratios'!$B$20:$D$20,0)-1)</f>
        <v>0.10879407112571635</v>
      </c>
      <c r="D29" s="40" cm="1">
        <f t="array" ref="D29">INDEX('03_Ratios'!$B$21:$P$25, MATCH("Return on Equity",'03_Ratios'!$A$21:$A$25,0), MATCH(D$2,'03_Ratios'!$B$19:$P$19,0)+MATCH($B29,'03_Ratios'!$B$20:$D$20,0)-1)</f>
        <v>9.1784317746090208E-2</v>
      </c>
      <c r="E29" s="40" cm="1">
        <f t="array" ref="E29">INDEX('03_Ratios'!$B$21:$P$25, MATCH("Return on Equity",'03_Ratios'!$A$21:$A$25,0), MATCH(E$2,'03_Ratios'!$B$19:$P$19,0)+MATCH($B29,'03_Ratios'!$B$20:$D$20,0)-1)</f>
        <v>9.7346725002218623E-2</v>
      </c>
      <c r="F29" s="40" cm="1">
        <f t="array" ref="F29">INDEX('03_Ratios'!$B$21:$P$25, MATCH("Return on Equity",'03_Ratios'!$A$21:$A$25,0), MATCH(F$2,'03_Ratios'!$B$19:$P$19,0)+MATCH($B29,'03_Ratios'!$B$20:$D$20,0)-1)</f>
        <v>6.4668620218209669E-2</v>
      </c>
      <c r="G29" s="40" cm="1">
        <f t="array" ref="G29">INDEX('03_Ratios'!$B$21:$P$25, MATCH("Return on Equity",'03_Ratios'!$A$21:$A$25,0), MATCH(G$2,'03_Ratios'!$B$19:$P$19,0)+MATCH($B29,'03_Ratios'!$B$20:$D$20,0)-1)</f>
        <v>3.4313531821091814E-2</v>
      </c>
    </row>
  </sheetData>
  <dataValidations count="1">
    <dataValidation type="list" allowBlank="1" showInputMessage="1" showErrorMessage="1" sqref="J2" xr:uid="{53FC01A7-B192-48D5-A98E-8F73DF3056AC}">
      <formula1>$A$3:$A$29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9E54-B520-4CAB-B060-14839C97E717}">
  <sheetPr>
    <tabColor rgb="FF002060"/>
  </sheetPr>
  <dimension ref="A2:N14"/>
  <sheetViews>
    <sheetView workbookViewId="0">
      <selection activeCell="M39" sqref="M39"/>
    </sheetView>
  </sheetViews>
  <sheetFormatPr defaultRowHeight="12.75" x14ac:dyDescent="0.2"/>
  <cols>
    <col min="1" max="1" width="19.140625" style="1" bestFit="1" customWidth="1"/>
    <col min="2" max="2" width="11" style="1" bestFit="1" customWidth="1"/>
    <col min="3" max="3" width="5.7109375" style="1" bestFit="1" customWidth="1"/>
    <col min="4" max="4" width="6.28515625" style="1" bestFit="1" customWidth="1"/>
    <col min="5" max="7" width="7" style="1" bestFit="1" customWidth="1"/>
    <col min="8" max="8" width="9.140625" style="1"/>
    <col min="9" max="9" width="15.28515625" style="1" bestFit="1" customWidth="1"/>
    <col min="10" max="10" width="16.28515625" style="1" bestFit="1" customWidth="1"/>
    <col min="11" max="16384" width="9.140625" style="1"/>
  </cols>
  <sheetData>
    <row r="2" spans="1:14" x14ac:dyDescent="0.2">
      <c r="A2" s="41" t="s">
        <v>203</v>
      </c>
      <c r="B2" s="28" t="s">
        <v>201</v>
      </c>
      <c r="C2" s="41">
        <v>2021</v>
      </c>
      <c r="D2" s="41">
        <v>2022</v>
      </c>
      <c r="E2" s="41">
        <v>2023</v>
      </c>
      <c r="F2" s="41">
        <v>2024</v>
      </c>
      <c r="G2" s="41">
        <v>2025</v>
      </c>
      <c r="I2" s="2" t="s">
        <v>208</v>
      </c>
      <c r="J2" s="2" t="s">
        <v>204</v>
      </c>
    </row>
    <row r="3" spans="1:14" x14ac:dyDescent="0.2">
      <c r="A3" s="37" t="s">
        <v>204</v>
      </c>
      <c r="B3" s="1" t="s">
        <v>150</v>
      </c>
      <c r="C3" s="30">
        <f>('01_All_Raw_Data'!N4/'01_All_Raw_Data'!Q4)-1</f>
        <v>0.17971748400852872</v>
      </c>
      <c r="D3" s="30">
        <f>('01_All_Raw_Data'!K4/'01_All_Raw_Data'!N4)-1</f>
        <v>0.11613537265887985</v>
      </c>
      <c r="E3" s="30">
        <f>('01_All_Raw_Data'!H4/'01_All_Raw_Data'!K4)-1</f>
        <v>9.1764753509366637E-2</v>
      </c>
      <c r="F3" s="30">
        <f>('01_All_Raw_Data'!E4/'01_All_Raw_Data'!H4)-1</f>
        <v>-2.3703580102712452E-2</v>
      </c>
      <c r="G3" s="30">
        <f>('01_All_Raw_Data'!B4/'01_All_Raw_Data'!E4)-1</f>
        <v>-6.1832372741342789E-2</v>
      </c>
    </row>
    <row r="4" spans="1:14" x14ac:dyDescent="0.2">
      <c r="A4" s="37" t="s">
        <v>204</v>
      </c>
      <c r="B4" s="1" t="s">
        <v>151</v>
      </c>
      <c r="C4" s="30">
        <f>('01_All_Raw_Data'!O4/'01_All_Raw_Data'!R4)-1</f>
        <v>9.9484307510387726E-2</v>
      </c>
      <c r="D4" s="30">
        <f>('01_All_Raw_Data'!L4/'01_All_Raw_Data'!O4)-1</f>
        <v>0.12042451808533672</v>
      </c>
      <c r="E4" s="30">
        <f>('01_All_Raw_Data'!I4/'01_All_Raw_Data'!L4)-1</f>
        <v>2.1337581740735967E-2</v>
      </c>
      <c r="F4" s="30">
        <f>('01_All_Raw_Data'!F4/'01_All_Raw_Data'!I4)-1</f>
        <v>-4.9759166677544431E-2</v>
      </c>
      <c r="G4" s="30">
        <f>('01_All_Raw_Data'!C4/'01_All_Raw_Data'!F4)-1</f>
        <v>-9.1899391458439172E-2</v>
      </c>
      <c r="J4" s="28">
        <v>2021</v>
      </c>
      <c r="K4" s="28">
        <v>2022</v>
      </c>
      <c r="L4" s="28">
        <v>2023</v>
      </c>
      <c r="M4" s="28">
        <v>2024</v>
      </c>
      <c r="N4" s="28">
        <v>2025</v>
      </c>
    </row>
    <row r="5" spans="1:14" x14ac:dyDescent="0.2">
      <c r="A5" s="38" t="s">
        <v>204</v>
      </c>
      <c r="B5" s="39" t="s">
        <v>152</v>
      </c>
      <c r="C5" s="42">
        <f>('01_All_Raw_Data'!P4/'01_All_Raw_Data'!S4)-1</f>
        <v>0.1225570251790169</v>
      </c>
      <c r="D5" s="42">
        <f>('01_All_Raw_Data'!M4/'01_All_Raw_Data'!P4)-1</f>
        <v>0.11530775379696245</v>
      </c>
      <c r="E5" s="42">
        <f>('01_All_Raw_Data'!J4/'01_All_Raw_Data'!M4)-1</f>
        <v>0.1549328077405483</v>
      </c>
      <c r="F5" s="42">
        <f>('01_All_Raw_Data'!G4/'01_All_Raw_Data'!J4)-1</f>
        <v>7.3599682267813105E-3</v>
      </c>
      <c r="G5" s="42">
        <f>('01_All_Raw_Data'!D4/'01_All_Raw_Data'!G4)-1</f>
        <v>-8.4489428810803346E-3</v>
      </c>
      <c r="I5" s="43" t="s">
        <v>150</v>
      </c>
      <c r="J5" s="30" cm="1">
        <f t="array" ref="J5">INDEX($C$3:$G$14,MATCH(1,INDEX(($B$3:$B$14=$I5)*($A$3:$A$14=$J$2),0),0),MATCH(J$4,$C$2:$G$2,0))</f>
        <v>0.17971748400852872</v>
      </c>
      <c r="K5" s="30" cm="1">
        <f t="array" ref="K5">INDEX($C$3:$G$14,MATCH(1,INDEX(($B$3:$B$14=$I5)*($A$3:$A$14=$J$2),0),0),MATCH(K$4,$C$2:$G$2,0))</f>
        <v>0.11613537265887985</v>
      </c>
      <c r="L5" s="30" cm="1">
        <f t="array" ref="L5">INDEX($C$3:$G$14,MATCH(1,INDEX(($B$3:$B$14=$I5)*($A$3:$A$14=$J$2),0),0),MATCH(L$4,$C$2:$G$2,0))</f>
        <v>9.1764753509366637E-2</v>
      </c>
      <c r="M5" s="30" cm="1">
        <f t="array" ref="M5">INDEX($C$3:$G$14,MATCH(1,INDEX(($B$3:$B$14=$I5)*($A$3:$A$14=$J$2),0),0),MATCH(M$4,$C$2:$G$2,0))</f>
        <v>-2.3703580102712452E-2</v>
      </c>
      <c r="N5" s="30" cm="1">
        <f t="array" ref="N5">INDEX($C$3:$G$14,MATCH(1,INDEX(($B$3:$B$14=$I5)*($A$3:$A$14=$J$2),0),0),MATCH(N$4,$C$2:$G$2,0))</f>
        <v>-6.1832372741342789E-2</v>
      </c>
    </row>
    <row r="6" spans="1:14" x14ac:dyDescent="0.2">
      <c r="A6" s="37" t="s">
        <v>205</v>
      </c>
      <c r="B6" s="1" t="s">
        <v>150</v>
      </c>
      <c r="C6" s="30">
        <f>'01_All_Raw_Data'!N14/'01_All_Raw_Data'!Q14-1</f>
        <v>1.8848413631022325</v>
      </c>
      <c r="D6" s="30">
        <f>'01_All_Raw_Data'!K14/'01_All_Raw_Data'!N14-1</f>
        <v>0.2853360488798371</v>
      </c>
      <c r="E6" s="30">
        <f>'01_All_Raw_Data'!H14/'01_All_Raw_Data'!K14-1</f>
        <v>-0.30819204563460623</v>
      </c>
      <c r="F6" s="30">
        <f>'01_All_Raw_Data'!E14/'01_All_Raw_Data'!H14-1</f>
        <v>-0.19285387081997252</v>
      </c>
      <c r="G6" s="30">
        <f>'01_All_Raw_Data'!B14/'01_All_Raw_Data'!E14-1</f>
        <v>0.11435868331441545</v>
      </c>
      <c r="I6" s="35" t="s">
        <v>151</v>
      </c>
      <c r="J6" s="30" cm="1">
        <f t="array" ref="J6">INDEX($C$3:$G$14,MATCH(1,INDEX(($B$3:$B$14=$I6)*($A$3:$A$14=$J$2),0),0),MATCH(J$4,$C$2:$G$2,0))</f>
        <v>9.9484307510387726E-2</v>
      </c>
      <c r="K6" s="30" cm="1">
        <f t="array" ref="K6">INDEX($C$3:$G$14,MATCH(1,INDEX(($B$3:$B$14=$I6)*($A$3:$A$14=$J$2),0),0),MATCH(K$4,$C$2:$G$2,0))</f>
        <v>0.12042451808533672</v>
      </c>
      <c r="L6" s="30" cm="1">
        <f t="array" ref="L6">INDEX($C$3:$G$14,MATCH(1,INDEX(($B$3:$B$14=$I6)*($A$3:$A$14=$J$2),0),0),MATCH(L$4,$C$2:$G$2,0))</f>
        <v>2.1337581740735967E-2</v>
      </c>
      <c r="M6" s="30" cm="1">
        <f t="array" ref="M6">INDEX($C$3:$G$14,MATCH(1,INDEX(($B$3:$B$14=$I6)*($A$3:$A$14=$J$2),0),0),MATCH(M$4,$C$2:$G$2,0))</f>
        <v>-4.9759166677544431E-2</v>
      </c>
      <c r="N6" s="30" cm="1">
        <f t="array" ref="N6">INDEX($C$3:$G$14,MATCH(1,INDEX(($B$3:$B$14=$I6)*($A$3:$A$14=$J$2),0),0),MATCH(N$4,$C$2:$G$2,0))</f>
        <v>-9.1899391458439172E-2</v>
      </c>
    </row>
    <row r="7" spans="1:14" x14ac:dyDescent="0.2">
      <c r="A7" s="37" t="s">
        <v>205</v>
      </c>
      <c r="B7" s="1" t="s">
        <v>151</v>
      </c>
      <c r="C7" s="30">
        <f>'01_All_Raw_Data'!O14/'01_All_Raw_Data'!R14-1</f>
        <v>4.835869294088301</v>
      </c>
      <c r="D7" s="30">
        <f>'01_All_Raw_Data'!L14/'01_All_Raw_Data'!O14-1</f>
        <v>-0.3670285518892118</v>
      </c>
      <c r="E7" s="30">
        <f>'01_All_Raw_Data'!I14/'01_All_Raw_Data'!L14-1</f>
        <v>-1.8772368154500674E-2</v>
      </c>
      <c r="F7" s="30">
        <f>'01_All_Raw_Data'!F14/'01_All_Raw_Data'!I14-1</f>
        <v>-0.28366939646273481</v>
      </c>
      <c r="G7" s="30">
        <f>'01_All_Raw_Data'!C14/'01_All_Raw_Data'!F14-1</f>
        <v>-0.48784705543279849</v>
      </c>
      <c r="I7" s="36" t="s">
        <v>152</v>
      </c>
      <c r="J7" s="30" cm="1">
        <f t="array" ref="J7">INDEX($C$3:$G$14,MATCH(1,INDEX(($B$3:$B$14=$I7)*($A$3:$A$14=$J$2),0),0),MATCH(J$4,$C$2:$G$2,0))</f>
        <v>0.1225570251790169</v>
      </c>
      <c r="K7" s="30" cm="1">
        <f t="array" ref="K7">INDEX($C$3:$G$14,MATCH(1,INDEX(($B$3:$B$14=$I7)*($A$3:$A$14=$J$2),0),0),MATCH(K$4,$C$2:$G$2,0))</f>
        <v>0.11530775379696245</v>
      </c>
      <c r="L7" s="30" cm="1">
        <f t="array" ref="L7">INDEX($C$3:$G$14,MATCH(1,INDEX(($B$3:$B$14=$I7)*($A$3:$A$14=$J$2),0),0),MATCH(L$4,$C$2:$G$2,0))</f>
        <v>0.1549328077405483</v>
      </c>
      <c r="M7" s="30" cm="1">
        <f t="array" ref="M7">INDEX($C$3:$G$14,MATCH(1,INDEX(($B$3:$B$14=$I7)*($A$3:$A$14=$J$2),0),0),MATCH(M$4,$C$2:$G$2,0))</f>
        <v>7.3599682267813105E-3</v>
      </c>
      <c r="N7" s="30" cm="1">
        <f t="array" ref="N7">INDEX($C$3:$G$14,MATCH(1,INDEX(($B$3:$B$14=$I7)*($A$3:$A$14=$J$2),0),0),MATCH(N$4,$C$2:$G$2,0))</f>
        <v>-8.4489428810803346E-3</v>
      </c>
    </row>
    <row r="8" spans="1:14" x14ac:dyDescent="0.2">
      <c r="A8" s="38" t="s">
        <v>205</v>
      </c>
      <c r="B8" s="39" t="s">
        <v>152</v>
      </c>
      <c r="C8" s="42">
        <f>'01_All_Raw_Data'!P14/'01_All_Raw_Data'!S14-1</f>
        <v>0.74849824322792702</v>
      </c>
      <c r="D8" s="42">
        <f>'01_All_Raw_Data'!M14/'01_All_Raw_Data'!P14-1</f>
        <v>2.7678745057367005E-2</v>
      </c>
      <c r="E8" s="42">
        <f>'01_All_Raw_Data'!J14/'01_All_Raw_Data'!M14-1</f>
        <v>0.1308187208275513</v>
      </c>
      <c r="F8" s="42">
        <f>'01_All_Raw_Data'!G14/'01_All_Raw_Data'!J14-1</f>
        <v>-0.30862338241856313</v>
      </c>
      <c r="G8" s="42">
        <f>'01_All_Raw_Data'!D14/'01_All_Raw_Data'!G14-1</f>
        <v>-0.4429205324727713</v>
      </c>
    </row>
    <row r="9" spans="1:14" x14ac:dyDescent="0.2">
      <c r="A9" s="37" t="s">
        <v>206</v>
      </c>
      <c r="B9" s="1" t="s">
        <v>150</v>
      </c>
      <c r="C9" s="30">
        <f>'01_All_Raw_Data'!N29/'01_All_Raw_Data'!Q29-1</f>
        <v>0.12257113115891749</v>
      </c>
      <c r="D9" s="30">
        <f>'01_All_Raw_Data'!K29/'01_All_Raw_Data'!N29-1</f>
        <v>0.1164979522448033</v>
      </c>
      <c r="E9" s="30">
        <f>'01_All_Raw_Data'!H29/'01_All_Raw_Data'!K29-1</f>
        <v>-6.1168556123084583E-2</v>
      </c>
      <c r="F9" s="30">
        <f>'01_All_Raw_Data'!E29/'01_All_Raw_Data'!H29-1</f>
        <v>-1.8489030431705578E-2</v>
      </c>
      <c r="G9" s="30">
        <f>'01_All_Raw_Data'!B29/'01_All_Raw_Data'!E29-1</f>
        <v>4.7438786240048048E-2</v>
      </c>
    </row>
    <row r="10" spans="1:14" x14ac:dyDescent="0.2">
      <c r="A10" s="37" t="s">
        <v>206</v>
      </c>
      <c r="B10" s="1" t="s">
        <v>151</v>
      </c>
      <c r="C10" s="30">
        <f>'01_All_Raw_Data'!O29/'01_All_Raw_Data'!R29-1</f>
        <v>-9.0663792228517837E-2</v>
      </c>
      <c r="D10" s="30">
        <f>'01_All_Raw_Data'!L29/'01_All_Raw_Data'!O29-1</f>
        <v>7.0815260688683601E-4</v>
      </c>
      <c r="E10" s="30">
        <f>'01_All_Raw_Data'!I29/'01_All_Raw_Data'!L29-1</f>
        <v>1.1564717420148751E-2</v>
      </c>
      <c r="F10" s="30">
        <f>'01_All_Raw_Data'!F29/'01_All_Raw_Data'!I29-1</f>
        <v>7.558303107724873E-3</v>
      </c>
      <c r="G10" s="30">
        <f>'01_All_Raw_Data'!C29/'01_All_Raw_Data'!F29-1</f>
        <v>-3.6013735330742258E-2</v>
      </c>
    </row>
    <row r="11" spans="1:14" x14ac:dyDescent="0.2">
      <c r="A11" s="38" t="s">
        <v>206</v>
      </c>
      <c r="B11" s="39" t="s">
        <v>152</v>
      </c>
      <c r="C11" s="42">
        <f>'01_All_Raw_Data'!P29/'01_All_Raw_Data'!S29-1</f>
        <v>6.3355689037122298E-2</v>
      </c>
      <c r="D11" s="42">
        <f>'01_All_Raw_Data'!M29/'01_All_Raw_Data'!P29-1</f>
        <v>6.697577982970393E-2</v>
      </c>
      <c r="E11" s="42">
        <f>'01_All_Raw_Data'!J29/'01_All_Raw_Data'!M29-1</f>
        <v>6.4404543866896757E-2</v>
      </c>
      <c r="F11" s="42">
        <f>'01_All_Raw_Data'!G29/'01_All_Raw_Data'!J29-1</f>
        <v>5.4247773754118489E-2</v>
      </c>
      <c r="G11" s="42">
        <f>'01_All_Raw_Data'!D29/'01_All_Raw_Data'!G29-1</f>
        <v>1.8268144508259532E-2</v>
      </c>
    </row>
    <row r="12" spans="1:14" x14ac:dyDescent="0.2">
      <c r="A12" s="37" t="s">
        <v>207</v>
      </c>
      <c r="B12" s="1" t="s">
        <v>150</v>
      </c>
      <c r="C12" s="30">
        <f>'01_All_Raw_Data'!N32/'01_All_Raw_Data'!Q32-1</f>
        <v>0.24807121661721077</v>
      </c>
      <c r="D12" s="30">
        <f>'01_All_Raw_Data'!K32/'01_All_Raw_Data'!N32-1</f>
        <v>6.8209436255085354E-2</v>
      </c>
      <c r="E12" s="30">
        <f>'01_All_Raw_Data'!H32/'01_All_Raw_Data'!K32-1</f>
        <v>-0.11306756355722625</v>
      </c>
      <c r="F12" s="30">
        <f>'01_All_Raw_Data'!E32/'01_All_Raw_Data'!H32-1</f>
        <v>-7.009814856123131E-2</v>
      </c>
      <c r="G12" s="30">
        <f>'01_All_Raw_Data'!B32/'01_All_Raw_Data'!E32-1</f>
        <v>4.6176911544228982E-3</v>
      </c>
    </row>
    <row r="13" spans="1:14" x14ac:dyDescent="0.2">
      <c r="A13" s="37" t="s">
        <v>207</v>
      </c>
      <c r="B13" s="1" t="s">
        <v>151</v>
      </c>
      <c r="C13" s="30">
        <f>'01_All_Raw_Data'!O32/'01_All_Raw_Data'!R32-1</f>
        <v>0.17541125819303427</v>
      </c>
      <c r="D13" s="30">
        <f>'01_All_Raw_Data'!L32/'01_All_Raw_Data'!O32-1</f>
        <v>0.18277365478972762</v>
      </c>
      <c r="E13" s="30">
        <f>'01_All_Raw_Data'!I32/'01_All_Raw_Data'!L32-1</f>
        <v>7.2521377397735121E-2</v>
      </c>
      <c r="F13" s="30">
        <f>'01_All_Raw_Data'!F32/'01_All_Raw_Data'!I32-1</f>
        <v>8.7700396483365584E-3</v>
      </c>
      <c r="G13" s="30">
        <f>'01_All_Raw_Data'!C32/'01_All_Raw_Data'!F32-1</f>
        <v>6.5150058741856309E-3</v>
      </c>
    </row>
    <row r="14" spans="1:14" x14ac:dyDescent="0.2">
      <c r="A14" s="38" t="s">
        <v>207</v>
      </c>
      <c r="B14" s="39" t="s">
        <v>152</v>
      </c>
      <c r="C14" s="42">
        <f>'01_All_Raw_Data'!P32/'01_All_Raw_Data'!S32-1</f>
        <v>0.13488581567442903</v>
      </c>
      <c r="D14" s="42">
        <f>'01_All_Raw_Data'!M32/'01_All_Raw_Data'!P32-1</f>
        <v>0.22013766301298632</v>
      </c>
      <c r="E14" s="42">
        <f>'01_All_Raw_Data'!J32/'01_All_Raw_Data'!M32-1</f>
        <v>6.49589520434255E-2</v>
      </c>
      <c r="F14" s="42">
        <f>'01_All_Raw_Data'!G32/'01_All_Raw_Data'!J32-1</f>
        <v>3.5906103879691731E-2</v>
      </c>
      <c r="G14" s="42">
        <f>'01_All_Raw_Data'!D32/'01_All_Raw_Data'!G32-1</f>
        <v>3.2140333755229289E-2</v>
      </c>
    </row>
  </sheetData>
  <dataValidations count="1">
    <dataValidation type="list" allowBlank="1" showInputMessage="1" showErrorMessage="1" sqref="J2" xr:uid="{A5E106F3-1835-46DD-9C03-5213B85DA3D3}">
      <formula1>$A$3:$A$14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118F-D57F-44C8-9412-3A90558948AB}">
  <sheetPr>
    <tabColor rgb="FF002060"/>
  </sheetPr>
  <dimension ref="A2:N43"/>
  <sheetViews>
    <sheetView tabSelected="1" workbookViewId="0">
      <selection activeCell="M14" sqref="M14"/>
    </sheetView>
  </sheetViews>
  <sheetFormatPr defaultRowHeight="12.75" x14ac:dyDescent="0.2"/>
  <cols>
    <col min="1" max="1" width="19.28515625" style="1" bestFit="1" customWidth="1"/>
    <col min="2" max="2" width="11" style="1" bestFit="1" customWidth="1"/>
    <col min="3" max="7" width="7.28515625" style="1" bestFit="1" customWidth="1"/>
    <col min="8" max="8" width="9.140625" style="1"/>
    <col min="9" max="9" width="15.28515625" style="1" bestFit="1" customWidth="1"/>
    <col min="10" max="10" width="16.28515625" style="1" bestFit="1" customWidth="1"/>
    <col min="11" max="14" width="6.28515625" style="1" bestFit="1" customWidth="1"/>
    <col min="15" max="16384" width="9.140625" style="1"/>
  </cols>
  <sheetData>
    <row r="2" spans="1:14" x14ac:dyDescent="0.2">
      <c r="A2" s="41" t="s">
        <v>179</v>
      </c>
      <c r="B2" s="41" t="s">
        <v>201</v>
      </c>
      <c r="C2" s="41">
        <v>2021</v>
      </c>
      <c r="D2" s="41">
        <v>2022</v>
      </c>
      <c r="E2" s="41">
        <v>2023</v>
      </c>
      <c r="F2" s="41">
        <v>2024</v>
      </c>
      <c r="G2" s="41">
        <v>2025</v>
      </c>
      <c r="I2" s="2" t="s">
        <v>202</v>
      </c>
      <c r="J2" s="2" t="s">
        <v>191</v>
      </c>
    </row>
    <row r="3" spans="1:14" x14ac:dyDescent="0.2">
      <c r="A3" s="37" t="s">
        <v>191</v>
      </c>
      <c r="B3" s="1" t="s">
        <v>150</v>
      </c>
      <c r="C3" s="31" cm="1">
        <f t="array" ref="C3">INDEX('02_Common_Size_IS_BS'!$B$4:$P$15, MATCH("Gross Profit",'02_Common_Size_IS_BS'!$A$4:$A$15,0), MATCH(C$2,'02_Common_Size_IS_BS'!$B$2:$P$2,0)+MATCH($B3,'02_Common_Size_IS_BS'!$B$3:$D$3,0)-1)</f>
        <v>0.18348281860696292</v>
      </c>
      <c r="D3" s="31" cm="1">
        <f t="array" ref="D3">INDEX('02_Common_Size_IS_BS'!$B$4:$P$15, MATCH("Gross Profit",'02_Common_Size_IS_BS'!$A$4:$A$15,0), MATCH(D$2,'02_Common_Size_IS_BS'!$B$2:$P$2,0)+MATCH($B3,'02_Common_Size_IS_BS'!$B$3:$D$3,0)-1)</f>
        <v>0.17361118139403078</v>
      </c>
      <c r="E3" s="31" cm="1">
        <f t="array" ref="E3">INDEX('02_Common_Size_IS_BS'!$B$4:$P$15, MATCH("Gross Profit",'02_Common_Size_IS_BS'!$A$4:$A$15,0), MATCH(E$2,'02_Common_Size_IS_BS'!$B$2:$P$2,0)+MATCH($B3,'02_Common_Size_IS_BS'!$B$3:$D$3,0)-1)</f>
        <v>0.15767469455105029</v>
      </c>
      <c r="F3" s="31" cm="1">
        <f t="array" ref="F3">INDEX('02_Common_Size_IS_BS'!$B$4:$P$15, MATCH("Gross Profit",'02_Common_Size_IS_BS'!$A$4:$A$15,0), MATCH(F$2,'02_Common_Size_IS_BS'!$B$2:$P$2,0)+MATCH($B3,'02_Common_Size_IS_BS'!$B$3:$D$3,0)-1)</f>
        <v>0.16239543473513299</v>
      </c>
      <c r="G3" s="31" cm="1">
        <f t="array" ref="G3">INDEX('02_Common_Size_IS_BS'!$B$4:$P$15, MATCH("Gross Profit",'02_Common_Size_IS_BS'!$A$4:$A$15,0), MATCH(G$2,'02_Common_Size_IS_BS'!$B$2:$P$2,0)+MATCH($B3,'02_Common_Size_IS_BS'!$B$3:$D$3,0)-1)</f>
        <v>0.15078184302413847</v>
      </c>
    </row>
    <row r="4" spans="1:14" x14ac:dyDescent="0.2">
      <c r="A4" s="37" t="s">
        <v>191</v>
      </c>
      <c r="B4" s="1" t="s">
        <v>151</v>
      </c>
      <c r="C4" s="31" cm="1">
        <f t="array" ref="C4">INDEX('02_Common_Size_IS_BS'!$B$4:$P$15, MATCH("Gross Profit",'02_Common_Size_IS_BS'!$A$4:$A$15,0), MATCH(C$2,'02_Common_Size_IS_BS'!$B$2:$P$2,0)+MATCH($B4,'02_Common_Size_IS_BS'!$B$3:$D$3,0)-1)</f>
        <v>0.22910084918554369</v>
      </c>
      <c r="D4" s="31" cm="1">
        <f t="array" ref="D4">INDEX('02_Common_Size_IS_BS'!$B$4:$P$15, MATCH("Gross Profit",'02_Common_Size_IS_BS'!$A$4:$A$15,0), MATCH(D$2,'02_Common_Size_IS_BS'!$B$2:$P$2,0)+MATCH($B4,'02_Common_Size_IS_BS'!$B$3:$D$3,0)-1)</f>
        <v>0.22677429891278988</v>
      </c>
      <c r="E4" s="31" cm="1">
        <f t="array" ref="E4">INDEX('02_Common_Size_IS_BS'!$B$4:$P$15, MATCH("Gross Profit",'02_Common_Size_IS_BS'!$A$4:$A$15,0), MATCH(E$2,'02_Common_Size_IS_BS'!$B$2:$P$2,0)+MATCH($B4,'02_Common_Size_IS_BS'!$B$3:$D$3,0)-1)</f>
        <v>0.22437964207860694</v>
      </c>
      <c r="F4" s="31" cm="1">
        <f t="array" ref="F4">INDEX('02_Common_Size_IS_BS'!$B$4:$P$15, MATCH("Gross Profit",'02_Common_Size_IS_BS'!$A$4:$A$15,0), MATCH(F$2,'02_Common_Size_IS_BS'!$B$2:$P$2,0)+MATCH($B4,'02_Common_Size_IS_BS'!$B$3:$D$3,0)-1)</f>
        <v>0.19627182438836765</v>
      </c>
      <c r="G4" s="31" cm="1">
        <f t="array" ref="G4">INDEX('02_Common_Size_IS_BS'!$B$4:$P$15, MATCH("Gross Profit",'02_Common_Size_IS_BS'!$A$4:$A$15,0), MATCH(G$2,'02_Common_Size_IS_BS'!$B$2:$P$2,0)+MATCH($B4,'02_Common_Size_IS_BS'!$B$3:$D$3,0)-1)</f>
        <v>0.16891554600874339</v>
      </c>
      <c r="J4" s="28">
        <v>2021</v>
      </c>
      <c r="K4" s="28">
        <v>2022</v>
      </c>
      <c r="L4" s="28">
        <v>2023</v>
      </c>
      <c r="M4" s="28">
        <v>2024</v>
      </c>
      <c r="N4" s="28">
        <v>2025</v>
      </c>
    </row>
    <row r="5" spans="1:14" x14ac:dyDescent="0.2">
      <c r="A5" s="38" t="s">
        <v>191</v>
      </c>
      <c r="B5" s="39" t="s">
        <v>152</v>
      </c>
      <c r="C5" s="40" cm="1">
        <f t="array" ref="C5">INDEX('02_Common_Size_IS_BS'!$B$4:$P$15, MATCH("Gross Profit",'02_Common_Size_IS_BS'!$A$4:$A$15,0), MATCH(C$2,'02_Common_Size_IS_BS'!$B$2:$P$2,0)+MATCH($B5,'02_Common_Size_IS_BS'!$B$3:$D$3,0)-1)</f>
        <v>0.18881294964028777</v>
      </c>
      <c r="D5" s="40" cm="1">
        <f t="array" ref="D5">INDEX('02_Common_Size_IS_BS'!$B$4:$P$15, MATCH("Gross Profit",'02_Common_Size_IS_BS'!$A$4:$A$15,0), MATCH(D$2,'02_Common_Size_IS_BS'!$B$2:$P$2,0)+MATCH($B5,'02_Common_Size_IS_BS'!$B$3:$D$3,0)-1)</f>
        <v>0.18700591291883176</v>
      </c>
      <c r="E5" s="40" cm="1">
        <f t="array" ref="E5">INDEX('02_Common_Size_IS_BS'!$B$4:$P$15, MATCH("Gross Profit",'02_Common_Size_IS_BS'!$A$4:$A$15,0), MATCH(E$2,'02_Common_Size_IS_BS'!$B$2:$P$2,0)+MATCH($B5,'02_Common_Size_IS_BS'!$B$3:$D$3,0)-1)</f>
        <v>0.18934231919673331</v>
      </c>
      <c r="F5" s="40" cm="1">
        <f t="array" ref="F5">INDEX('02_Common_Size_IS_BS'!$B$4:$P$15, MATCH("Gross Profit",'02_Common_Size_IS_BS'!$A$4:$A$15,0), MATCH(F$2,'02_Common_Size_IS_BS'!$B$2:$P$2,0)+MATCH($B5,'02_Common_Size_IS_BS'!$B$3:$D$3,0)-1)</f>
        <v>0.18318466315115076</v>
      </c>
      <c r="G5" s="40" cm="1">
        <f t="array" ref="G5">INDEX('02_Common_Size_IS_BS'!$B$4:$P$15, MATCH("Gross Profit",'02_Common_Size_IS_BS'!$A$4:$A$15,0), MATCH(G$2,'02_Common_Size_IS_BS'!$B$2:$P$2,0)+MATCH($B5,'02_Common_Size_IS_BS'!$B$3:$D$3,0)-1)</f>
        <v>0.15918276055953007</v>
      </c>
      <c r="I5" s="43" t="s">
        <v>150</v>
      </c>
      <c r="J5" s="31" cm="1">
        <f t="array" ref="J5">INDEX($C$3:$G$29,MATCH(1,($A$3:$A$29=$J$2)*($B$3:$B$29=$I5),0),MATCH(J$4,$C$2:$G$2,0))</f>
        <v>0.18348281860696292</v>
      </c>
      <c r="K5" s="31" cm="1">
        <f t="array" ref="K5">INDEX($C$3:$G$29,MATCH(1,($A$3:$A$29=$J$2)*($B$3:$B$29=$I5),0),MATCH(K$4,$C$2:$G$2,0))</f>
        <v>0.17361118139403078</v>
      </c>
      <c r="L5" s="31" cm="1">
        <f t="array" ref="L5">INDEX($C$3:$G$29,MATCH(1,($A$3:$A$29=$J$2)*($B$3:$B$29=$I5),0),MATCH(L$4,$C$2:$G$2,0))</f>
        <v>0.15767469455105029</v>
      </c>
      <c r="M5" s="31" cm="1">
        <f t="array" ref="M5">INDEX($C$3:$G$29,MATCH(1,($A$3:$A$29=$J$2)*($B$3:$B$29=$I5),0),MATCH(M$4,$C$2:$G$2,0))</f>
        <v>0.16239543473513299</v>
      </c>
      <c r="N5" s="31" cm="1">
        <f t="array" ref="N5">INDEX($C$3:$G$29,MATCH(1,($A$3:$A$29=$J$2)*($B$3:$B$29=$I5),0),MATCH(N$4,$C$2:$G$2,0))</f>
        <v>0.15078184302413847</v>
      </c>
    </row>
    <row r="6" spans="1:14" x14ac:dyDescent="0.2">
      <c r="A6" s="37" t="s">
        <v>192</v>
      </c>
      <c r="B6" s="1" t="s">
        <v>150</v>
      </c>
      <c r="C6" s="31" cm="1">
        <f t="array" ref="C6">-INDEX('02_Common_Size_IS_BS'!$B$4:$P$15, MATCH("Total Operating Expenses",'02_Common_Size_IS_BS'!$A$4:$A$15,0), MATCH(C$2,'02_Common_Size_IS_BS'!$B$2:$P$2,0)+MATCH($B6,'02_Common_Size_IS_BS'!$B$3:$D$3,0)-1)</f>
        <v>0.14473713937148408</v>
      </c>
      <c r="D6" s="31" cm="1">
        <f t="array" ref="D6">-INDEX('02_Common_Size_IS_BS'!$B$4:$P$15, MATCH("Total Operating Expenses",'02_Common_Size_IS_BS'!$A$4:$A$15,0), MATCH(D$2,'02_Common_Size_IS_BS'!$B$2:$P$2,0)+MATCH($B6,'02_Common_Size_IS_BS'!$B$3:$D$3,0)-1)</f>
        <v>0.15002985618427844</v>
      </c>
      <c r="E6" s="31" cm="1">
        <f t="array" ref="E6">-INDEX('02_Common_Size_IS_BS'!$B$4:$P$15, MATCH("Total Operating Expenses",'02_Common_Size_IS_BS'!$A$4:$A$15,0), MATCH(E$2,'02_Common_Size_IS_BS'!$B$2:$P$2,0)+MATCH($B6,'02_Common_Size_IS_BS'!$B$3:$D$3,0)-1)</f>
        <v>0.13966294009677957</v>
      </c>
      <c r="F6" s="31" cm="1">
        <f t="array" ref="F6">-INDEX('02_Common_Size_IS_BS'!$B$4:$P$15, MATCH("Total Operating Expenses",'02_Common_Size_IS_BS'!$A$4:$A$15,0), MATCH(F$2,'02_Common_Size_IS_BS'!$B$2:$P$2,0)+MATCH($B6,'02_Common_Size_IS_BS'!$B$3:$D$3,0)-1)</f>
        <v>0.1570021933780871</v>
      </c>
      <c r="G6" s="31" cm="1">
        <f t="array" ref="G6">-INDEX('02_Common_Size_IS_BS'!$B$4:$P$15, MATCH("Total Operating Expenses",'02_Common_Size_IS_BS'!$A$4:$A$15,0), MATCH(G$2,'02_Common_Size_IS_BS'!$B$2:$P$2,0)+MATCH($B6,'02_Common_Size_IS_BS'!$B$3:$D$3,0)-1)</f>
        <v>0.1535448610900258</v>
      </c>
      <c r="I6" s="35" t="s">
        <v>151</v>
      </c>
      <c r="J6" s="31" cm="1">
        <f t="array" ref="J6">INDEX($C$3:$G$29,MATCH(1,($A$3:$A$29=$J$2)*($B$3:$B$29=$I6),0),MATCH(J$4,$C$2:$G$2,0))</f>
        <v>0.22910084918554369</v>
      </c>
      <c r="K6" s="31" cm="1">
        <f t="array" ref="K6">INDEX($C$3:$G$29,MATCH(1,($A$3:$A$29=$J$2)*($B$3:$B$29=$I6),0),MATCH(K$4,$C$2:$G$2,0))</f>
        <v>0.22677429891278988</v>
      </c>
      <c r="L6" s="31" cm="1">
        <f t="array" ref="L6">INDEX($C$3:$G$29,MATCH(1,($A$3:$A$29=$J$2)*($B$3:$B$29=$I6),0),MATCH(L$4,$C$2:$G$2,0))</f>
        <v>0.22437964207860694</v>
      </c>
      <c r="M6" s="31" cm="1">
        <f t="array" ref="M6">INDEX($C$3:$G$29,MATCH(1,($A$3:$A$29=$J$2)*($B$3:$B$29=$I6),0),MATCH(M$4,$C$2:$G$2,0))</f>
        <v>0.19627182438836765</v>
      </c>
      <c r="N6" s="31" cm="1">
        <f t="array" ref="N6">INDEX($C$3:$G$29,MATCH(1,($A$3:$A$29=$J$2)*($B$3:$B$29=$I6),0),MATCH(N$4,$C$2:$G$2,0))</f>
        <v>0.16891554600874339</v>
      </c>
    </row>
    <row r="7" spans="1:14" x14ac:dyDescent="0.2">
      <c r="A7" s="37" t="s">
        <v>192</v>
      </c>
      <c r="B7" s="1" t="s">
        <v>151</v>
      </c>
      <c r="C7" s="31" cm="1">
        <f t="array" ref="C7">-INDEX('02_Common_Size_IS_BS'!$B$4:$P$15, MATCH("Total Operating Expenses",'02_Common_Size_IS_BS'!$A$4:$A$15,0), MATCH(C$2,'02_Common_Size_IS_BS'!$B$2:$P$2,0)+MATCH($B7,'02_Common_Size_IS_BS'!$B$3:$D$3,0)-1)</f>
        <v>0.12185849895065463</v>
      </c>
      <c r="D7" s="31" cm="1">
        <f t="array" ref="D7">-INDEX('02_Common_Size_IS_BS'!$B$4:$P$15, MATCH("Total Operating Expenses",'02_Common_Size_IS_BS'!$A$4:$A$15,0), MATCH(D$2,'02_Common_Size_IS_BS'!$B$2:$P$2,0)+MATCH($B7,'02_Common_Size_IS_BS'!$B$3:$D$3,0)-1)</f>
        <v>0.10421485564969303</v>
      </c>
      <c r="E7" s="31" cm="1">
        <f t="array" ref="E7">-INDEX('02_Common_Size_IS_BS'!$B$4:$P$15, MATCH("Total Operating Expenses",'02_Common_Size_IS_BS'!$A$4:$A$15,0), MATCH(E$2,'02_Common_Size_IS_BS'!$B$2:$P$2,0)+MATCH($B7,'02_Common_Size_IS_BS'!$B$3:$D$3,0)-1)</f>
        <v>0.1106658486600791</v>
      </c>
      <c r="F7" s="31" cm="1">
        <f t="array" ref="F7">-INDEX('02_Common_Size_IS_BS'!$B$4:$P$15, MATCH("Total Operating Expenses",'02_Common_Size_IS_BS'!$A$4:$A$15,0), MATCH(F$2,'02_Common_Size_IS_BS'!$B$2:$P$2,0)+MATCH($B7,'02_Common_Size_IS_BS'!$B$3:$D$3,0)-1)</f>
        <v>0.11043037487808563</v>
      </c>
      <c r="G7" s="31" cm="1">
        <f t="array" ref="G7">-INDEX('02_Common_Size_IS_BS'!$B$4:$P$15, MATCH("Total Operating Expenses",'02_Common_Size_IS_BS'!$A$4:$A$15,0), MATCH(G$2,'02_Common_Size_IS_BS'!$B$2:$P$2,0)+MATCH($B7,'02_Common_Size_IS_BS'!$B$3:$D$3,0)-1)</f>
        <v>0.13405539504137232</v>
      </c>
      <c r="I7" s="36" t="s">
        <v>152</v>
      </c>
      <c r="J7" s="31" cm="1">
        <f t="array" ref="J7">INDEX($C$3:$G$29,MATCH(1,($A$3:$A$29=$J$2)*($B$3:$B$29=$I7),0),MATCH(J$4,$C$2:$G$2,0))</f>
        <v>0.18881294964028777</v>
      </c>
      <c r="K7" s="31" cm="1">
        <f t="array" ref="K7">INDEX($C$3:$G$29,MATCH(1,($A$3:$A$29=$J$2)*($B$3:$B$29=$I7),0),MATCH(K$4,$C$2:$G$2,0))</f>
        <v>0.18700591291883176</v>
      </c>
      <c r="L7" s="31" cm="1">
        <f t="array" ref="L7">INDEX($C$3:$G$29,MATCH(1,($A$3:$A$29=$J$2)*($B$3:$B$29=$I7),0),MATCH(L$4,$C$2:$G$2,0))</f>
        <v>0.18934231919673331</v>
      </c>
      <c r="M7" s="31" cm="1">
        <f t="array" ref="M7">INDEX($C$3:$G$29,MATCH(1,($A$3:$A$29=$J$2)*($B$3:$B$29=$I7),0),MATCH(M$4,$C$2:$G$2,0))</f>
        <v>0.18318466315115076</v>
      </c>
      <c r="N7" s="31" cm="1">
        <f t="array" ref="N7">INDEX($C$3:$G$29,MATCH(1,($A$3:$A$29=$J$2)*($B$3:$B$29=$I7),0),MATCH(N$4,$C$2:$G$2,0))</f>
        <v>0.15918276055953007</v>
      </c>
    </row>
    <row r="8" spans="1:14" x14ac:dyDescent="0.2">
      <c r="A8" s="38" t="s">
        <v>192</v>
      </c>
      <c r="B8" s="39" t="s">
        <v>152</v>
      </c>
      <c r="C8" s="40" cm="1">
        <f t="array" ref="C8">-INDEX('02_Common_Size_IS_BS'!$B$4:$P$15, MATCH("Total Operating Expenses",'02_Common_Size_IS_BS'!$A$4:$A$15,0), MATCH(C$2,'02_Common_Size_IS_BS'!$B$2:$P$2,0)+MATCH($B8,'02_Common_Size_IS_BS'!$B$3:$D$3,0)-1)</f>
        <v>0.11177458033573141</v>
      </c>
      <c r="D8" s="40" cm="1">
        <f t="array" ref="D8">-INDEX('02_Common_Size_IS_BS'!$B$4:$P$15, MATCH("Total Operating Expenses",'02_Common_Size_IS_BS'!$A$4:$A$15,0), MATCH(D$2,'02_Common_Size_IS_BS'!$B$2:$P$2,0)+MATCH($B8,'02_Common_Size_IS_BS'!$B$3:$D$3,0)-1)</f>
        <v>0.10777280057337395</v>
      </c>
      <c r="E8" s="40" cm="1">
        <f t="array" ref="E8">-INDEX('02_Common_Size_IS_BS'!$B$4:$P$15, MATCH("Total Operating Expenses",'02_Common_Size_IS_BS'!$A$4:$A$15,0), MATCH(E$2,'02_Common_Size_IS_BS'!$B$2:$P$2,0)+MATCH($B8,'02_Common_Size_IS_BS'!$B$3:$D$3,0)-1)</f>
        <v>0.11929230120018369</v>
      </c>
      <c r="F8" s="40" cm="1">
        <f t="array" ref="F8">-INDEX('02_Common_Size_IS_BS'!$B$4:$P$15, MATCH("Total Operating Expenses",'02_Common_Size_IS_BS'!$A$4:$A$15,0), MATCH(F$2,'02_Common_Size_IS_BS'!$B$2:$P$2,0)+MATCH($B8,'02_Common_Size_IS_BS'!$B$3:$D$3,0)-1)</f>
        <v>0.12447636883347298</v>
      </c>
      <c r="G8" s="40" cm="1">
        <f t="array" ref="G8">-INDEX('02_Common_Size_IS_BS'!$B$4:$P$15, MATCH("Total Operating Expenses",'02_Common_Size_IS_BS'!$A$4:$A$15,0), MATCH(G$2,'02_Common_Size_IS_BS'!$B$2:$P$2,0)+MATCH($B8,'02_Common_Size_IS_BS'!$B$3:$D$3,0)-1)</f>
        <v>0.13163183841596954</v>
      </c>
    </row>
    <row r="9" spans="1:14" x14ac:dyDescent="0.2">
      <c r="A9" s="37" t="s">
        <v>193</v>
      </c>
      <c r="B9" s="1" t="s">
        <v>150</v>
      </c>
      <c r="C9" s="31" cm="1">
        <f t="array" ref="C9">INDEX('02_Common_Size_IS_BS'!$B$4:$P$15, MATCH("Operating Profit (EBIT)",'02_Common_Size_IS_BS'!$A$4:$A$15,0), MATCH(C$2,'02_Common_Size_IS_BS'!$B$2:$P$2,0)+MATCH($B9,'02_Common_Size_IS_BS'!$B$3:$D$3,0)-1)</f>
        <v>3.8745679235478843E-2</v>
      </c>
      <c r="D9" s="31" cm="1">
        <f t="array" ref="D9">INDEX('02_Common_Size_IS_BS'!$B$4:$P$15, MATCH("Operating Profit (EBIT)",'02_Common_Size_IS_BS'!$A$4:$A$15,0), MATCH(D$2,'02_Common_Size_IS_BS'!$B$2:$P$2,0)+MATCH($B9,'02_Common_Size_IS_BS'!$B$3:$D$3,0)-1)</f>
        <v>2.3581325209752344E-2</v>
      </c>
      <c r="E9" s="31" cm="1">
        <f t="array" ref="E9">INDEX('02_Common_Size_IS_BS'!$B$4:$P$15, MATCH("Operating Profit (EBIT)",'02_Common_Size_IS_BS'!$A$4:$A$15,0), MATCH(E$2,'02_Common_Size_IS_BS'!$B$2:$P$2,0)+MATCH($B9,'02_Common_Size_IS_BS'!$B$3:$D$3,0)-1)</f>
        <v>1.8011754454270723E-2</v>
      </c>
      <c r="F9" s="31" cm="1">
        <f t="array" ref="F9">INDEX('02_Common_Size_IS_BS'!$B$4:$P$15, MATCH("Operating Profit (EBIT)",'02_Common_Size_IS_BS'!$A$4:$A$15,0), MATCH(F$2,'02_Common_Size_IS_BS'!$B$2:$P$2,0)+MATCH($B9,'02_Common_Size_IS_BS'!$B$3:$D$3,0)-1)</f>
        <v>5.3932413570458712E-3</v>
      </c>
      <c r="G9" s="31" cm="1">
        <f t="array" ref="G9">INDEX('02_Common_Size_IS_BS'!$B$4:$P$15, MATCH("Operating Profit (EBIT)",'02_Common_Size_IS_BS'!$A$4:$A$15,0), MATCH(G$2,'02_Common_Size_IS_BS'!$B$2:$P$2,0)+MATCH($B9,'02_Common_Size_IS_BS'!$B$3:$D$3,0)-1)</f>
        <v>-2.7630180658873541E-3</v>
      </c>
    </row>
    <row r="10" spans="1:14" x14ac:dyDescent="0.2">
      <c r="A10" s="37" t="s">
        <v>193</v>
      </c>
      <c r="B10" s="1" t="s">
        <v>151</v>
      </c>
      <c r="C10" s="31" cm="1">
        <f t="array" ref="C10">INDEX('02_Common_Size_IS_BS'!$B$4:$P$15, MATCH("Operating Profit (EBIT)",'02_Common_Size_IS_BS'!$A$4:$A$15,0), MATCH(C$2,'02_Common_Size_IS_BS'!$B$2:$P$2,0)+MATCH($B10,'02_Common_Size_IS_BS'!$B$3:$D$3,0)-1)</f>
        <v>0.10724235023488905</v>
      </c>
      <c r="D10" s="31" cm="1">
        <f t="array" ref="D10">INDEX('02_Common_Size_IS_BS'!$B$4:$P$15, MATCH("Operating Profit (EBIT)",'02_Common_Size_IS_BS'!$A$4:$A$15,0), MATCH(D$2,'02_Common_Size_IS_BS'!$B$2:$P$2,0)+MATCH($B10,'02_Common_Size_IS_BS'!$B$3:$D$3,0)-1)</f>
        <v>0.12255944326309685</v>
      </c>
      <c r="E10" s="31" cm="1">
        <f t="array" ref="E10">INDEX('02_Common_Size_IS_BS'!$B$4:$P$15, MATCH("Operating Profit (EBIT)",'02_Common_Size_IS_BS'!$A$4:$A$15,0), MATCH(E$2,'02_Common_Size_IS_BS'!$B$2:$P$2,0)+MATCH($B10,'02_Common_Size_IS_BS'!$B$3:$D$3,0)-1)</f>
        <v>0.11371379341852784</v>
      </c>
      <c r="F10" s="31" cm="1">
        <f t="array" ref="F10">INDEX('02_Common_Size_IS_BS'!$B$4:$P$15, MATCH("Operating Profit (EBIT)",'02_Common_Size_IS_BS'!$A$4:$A$15,0), MATCH(F$2,'02_Common_Size_IS_BS'!$B$2:$P$2,0)+MATCH($B10,'02_Common_Size_IS_BS'!$B$3:$D$3,0)-1)</f>
        <v>8.5841449510282011E-2</v>
      </c>
      <c r="G10" s="31" cm="1">
        <f t="array" ref="G10">INDEX('02_Common_Size_IS_BS'!$B$4:$P$15, MATCH("Operating Profit (EBIT)",'02_Common_Size_IS_BS'!$A$4:$A$15,0), MATCH(G$2,'02_Common_Size_IS_BS'!$B$2:$P$2,0)+MATCH($B10,'02_Common_Size_IS_BS'!$B$3:$D$3,0)-1)</f>
        <v>3.4860150967371079E-2</v>
      </c>
    </row>
    <row r="11" spans="1:14" x14ac:dyDescent="0.2">
      <c r="A11" s="38" t="s">
        <v>193</v>
      </c>
      <c r="B11" s="39" t="s">
        <v>152</v>
      </c>
      <c r="C11" s="40" cm="1">
        <f t="array" ref="C11">INDEX('02_Common_Size_IS_BS'!$B$4:$P$15, MATCH("Operating Profit (EBIT)",'02_Common_Size_IS_BS'!$A$4:$A$15,0), MATCH(C$2,'02_Common_Size_IS_BS'!$B$2:$P$2,0)+MATCH($B11,'02_Common_Size_IS_BS'!$B$3:$D$3,0)-1)</f>
        <v>7.7038369304556362E-2</v>
      </c>
      <c r="D11" s="40" cm="1">
        <f t="array" ref="D11">INDEX('02_Common_Size_IS_BS'!$B$4:$P$15, MATCH("Operating Profit (EBIT)",'02_Common_Size_IS_BS'!$A$4:$A$15,0), MATCH(D$2,'02_Common_Size_IS_BS'!$B$2:$P$2,0)+MATCH($B11,'02_Common_Size_IS_BS'!$B$3:$D$3,0)-1)</f>
        <v>7.923311234545781E-2</v>
      </c>
      <c r="E11" s="40" cm="1">
        <f t="array" ref="E11">INDEX('02_Common_Size_IS_BS'!$B$4:$P$15, MATCH("Operating Profit (EBIT)",'02_Common_Size_IS_BS'!$A$4:$A$15,0), MATCH(E$2,'02_Common_Size_IS_BS'!$B$2:$P$2,0)+MATCH($B11,'02_Common_Size_IS_BS'!$B$3:$D$3,0)-1)</f>
        <v>7.0050017996549627E-2</v>
      </c>
      <c r="F11" s="40" cm="1">
        <f t="array" ref="F11">INDEX('02_Common_Size_IS_BS'!$B$4:$P$15, MATCH("Operating Profit (EBIT)",'02_Common_Size_IS_BS'!$A$4:$A$15,0), MATCH(F$2,'02_Common_Size_IS_BS'!$B$2:$P$2,0)+MATCH($B11,'02_Common_Size_IS_BS'!$B$3:$D$3,0)-1)</f>
        <v>5.8708294317677788E-2</v>
      </c>
      <c r="G11" s="40" cm="1">
        <f t="array" ref="G11">INDEX('02_Common_Size_IS_BS'!$B$4:$P$15, MATCH("Operating Profit (EBIT)",'02_Common_Size_IS_BS'!$A$4:$A$15,0), MATCH(G$2,'02_Common_Size_IS_BS'!$B$2:$P$2,0)+MATCH($B11,'02_Common_Size_IS_BS'!$B$3:$D$3,0)-1)</f>
        <v>2.7550922143560527E-2</v>
      </c>
    </row>
    <row r="12" spans="1:14" x14ac:dyDescent="0.2">
      <c r="A12" s="37" t="s">
        <v>194</v>
      </c>
      <c r="B12" s="1" t="s">
        <v>150</v>
      </c>
      <c r="C12" s="31" cm="1">
        <f t="array" ref="C12">INDEX('02_Common_Size_IS_BS'!$B$4:$P$15, MATCH("Profit Before Tax (EBT)",'02_Common_Size_IS_BS'!$A$4:$A$15,0), MATCH(C$2,'02_Common_Size_IS_BS'!$B$2:$P$2,0)+MATCH($B12,'02_Common_Size_IS_BS'!$B$3:$D$3,0)-1)</f>
        <v>6.7720217789124099E-2</v>
      </c>
      <c r="D12" s="31" cm="1">
        <f t="array" ref="D12">INDEX('02_Common_Size_IS_BS'!$B$4:$P$15, MATCH("Profit Before Tax (EBT)",'02_Common_Size_IS_BS'!$A$4:$A$15,0), MATCH(D$2,'02_Common_Size_IS_BS'!$B$2:$P$2,0)+MATCH($B12,'02_Common_Size_IS_BS'!$B$3:$D$3,0)-1)</f>
        <v>8.0196747194024712E-2</v>
      </c>
      <c r="E12" s="31" cm="1">
        <f t="array" ref="E12">INDEX('02_Common_Size_IS_BS'!$B$4:$P$15, MATCH("Profit Before Tax (EBT)",'02_Common_Size_IS_BS'!$A$4:$A$15,0), MATCH(E$2,'02_Common_Size_IS_BS'!$B$2:$P$2,0)+MATCH($B12,'02_Common_Size_IS_BS'!$B$3:$D$3,0)-1)</f>
        <v>5.0531175260025582E-2</v>
      </c>
      <c r="F12" s="31" cm="1">
        <f t="array" ref="F12">INDEX('02_Common_Size_IS_BS'!$B$4:$P$15, MATCH("Profit Before Tax (EBT)",'02_Common_Size_IS_BS'!$A$4:$A$15,0), MATCH(F$2,'02_Common_Size_IS_BS'!$B$2:$P$2,0)+MATCH($B12,'02_Common_Size_IS_BS'!$B$3:$D$3,0)-1)</f>
        <v>3.8996553263005974E-2</v>
      </c>
      <c r="G12" s="31" cm="1">
        <f t="array" ref="G12">INDEX('02_Common_Size_IS_BS'!$B$4:$P$15, MATCH("Profit Before Tax (EBT)",'02_Common_Size_IS_BS'!$A$4:$A$15,0), MATCH(G$2,'02_Common_Size_IS_BS'!$B$2:$P$2,0)+MATCH($B12,'02_Common_Size_IS_BS'!$B$3:$D$3,0)-1)</f>
        <v>4.2801477658013259E-2</v>
      </c>
    </row>
    <row r="13" spans="1:14" x14ac:dyDescent="0.2">
      <c r="A13" s="37" t="s">
        <v>194</v>
      </c>
      <c r="B13" s="1" t="s">
        <v>151</v>
      </c>
      <c r="C13" s="31" cm="1">
        <f t="array" ref="C13">INDEX('02_Common_Size_IS_BS'!$B$4:$P$15, MATCH("Profit Before Tax (EBT)",'02_Common_Size_IS_BS'!$A$4:$A$15,0), MATCH(C$2,'02_Common_Size_IS_BS'!$B$2:$P$2,0)+MATCH($B13,'02_Common_Size_IS_BS'!$B$3:$D$3,0)-1)</f>
        <v>0.11808683052885513</v>
      </c>
      <c r="D13" s="31" cm="1">
        <f t="array" ref="D13">INDEX('02_Common_Size_IS_BS'!$B$4:$P$15, MATCH("Profit Before Tax (EBT)",'02_Common_Size_IS_BS'!$A$4:$A$15,0), MATCH(D$2,'02_Common_Size_IS_BS'!$B$2:$P$2,0)+MATCH($B13,'02_Common_Size_IS_BS'!$B$3:$D$3,0)-1)</f>
        <v>0.13534466093842698</v>
      </c>
      <c r="E13" s="31" cm="1">
        <f t="array" ref="E13">INDEX('02_Common_Size_IS_BS'!$B$4:$P$15, MATCH("Profit Before Tax (EBT)",'02_Common_Size_IS_BS'!$A$4:$A$15,0), MATCH(E$2,'02_Common_Size_IS_BS'!$B$2:$P$2,0)+MATCH($B13,'02_Common_Size_IS_BS'!$B$3:$D$3,0)-1)</f>
        <v>0.13108120455821118</v>
      </c>
      <c r="F13" s="31" cm="1">
        <f t="array" ref="F13">INDEX('02_Common_Size_IS_BS'!$B$4:$P$15, MATCH("Profit Before Tax (EBT)",'02_Common_Size_IS_BS'!$A$4:$A$15,0), MATCH(F$2,'02_Common_Size_IS_BS'!$B$2:$P$2,0)+MATCH($B13,'02_Common_Size_IS_BS'!$B$3:$D$3,0)-1)</f>
        <v>9.7167465692267543E-2</v>
      </c>
      <c r="G13" s="31" cm="1">
        <f t="array" ref="G13">INDEX('02_Common_Size_IS_BS'!$B$4:$P$15, MATCH("Profit Before Tax (EBT)",'02_Common_Size_IS_BS'!$A$4:$A$15,0), MATCH(G$2,'02_Common_Size_IS_BS'!$B$2:$P$2,0)+MATCH($B13,'02_Common_Size_IS_BS'!$B$3:$D$3,0)-1)</f>
        <v>4.7529006005415465E-2</v>
      </c>
    </row>
    <row r="14" spans="1:14" x14ac:dyDescent="0.2">
      <c r="A14" s="38" t="s">
        <v>194</v>
      </c>
      <c r="B14" s="39" t="s">
        <v>152</v>
      </c>
      <c r="C14" s="40" cm="1">
        <f t="array" ref="C14">INDEX('02_Common_Size_IS_BS'!$B$4:$P$15, MATCH("Profit Before Tax (EBT)",'02_Common_Size_IS_BS'!$A$4:$A$15,0), MATCH(C$2,'02_Common_Size_IS_BS'!$B$2:$P$2,0)+MATCH($B14,'02_Common_Size_IS_BS'!$B$3:$D$3,0)-1)</f>
        <v>8.0435651478816941E-2</v>
      </c>
      <c r="D14" s="40" cm="1">
        <f t="array" ref="D14">INDEX('02_Common_Size_IS_BS'!$B$4:$P$15, MATCH("Profit Before Tax (EBT)",'02_Common_Size_IS_BS'!$A$4:$A$15,0), MATCH(D$2,'02_Common_Size_IS_BS'!$B$2:$P$2,0)+MATCH($B14,'02_Common_Size_IS_BS'!$B$3:$D$3,0)-1)</f>
        <v>7.9093352445798237E-2</v>
      </c>
      <c r="E14" s="40" cm="1">
        <f t="array" ref="E14">INDEX('02_Common_Size_IS_BS'!$B$4:$P$15, MATCH("Profit Before Tax (EBT)",'02_Common_Size_IS_BS'!$A$4:$A$15,0), MATCH(E$2,'02_Common_Size_IS_BS'!$B$2:$P$2,0)+MATCH($B14,'02_Common_Size_IS_BS'!$B$3:$D$3,0)-1)</f>
        <v>7.1967581387844259E-2</v>
      </c>
      <c r="F14" s="40" cm="1">
        <f t="array" ref="F14">INDEX('02_Common_Size_IS_BS'!$B$4:$P$15, MATCH("Profit Before Tax (EBT)",'02_Common_Size_IS_BS'!$A$4:$A$15,0), MATCH(F$2,'02_Common_Size_IS_BS'!$B$2:$P$2,0)+MATCH($B14,'02_Common_Size_IS_BS'!$B$3:$D$3,0)-1)</f>
        <v>5.1765561086195851E-2</v>
      </c>
      <c r="G14" s="40" cm="1">
        <f t="array" ref="G14">INDEX('02_Common_Size_IS_BS'!$B$4:$P$15, MATCH("Profit Before Tax (EBT)",'02_Common_Size_IS_BS'!$A$4:$A$15,0), MATCH(G$2,'02_Common_Size_IS_BS'!$B$2:$P$2,0)+MATCH($B14,'02_Common_Size_IS_BS'!$B$3:$D$3,0)-1)</f>
        <v>2.8914644640011433E-2</v>
      </c>
    </row>
    <row r="15" spans="1:14" x14ac:dyDescent="0.2">
      <c r="A15" s="37" t="s">
        <v>59</v>
      </c>
      <c r="B15" s="1" t="s">
        <v>150</v>
      </c>
      <c r="C15" s="31" cm="1">
        <f t="array" ref="C15">INDEX('02_Common_Size_IS_BS'!$B$21:$P$41, MATCH("Total Current Assets",'02_Common_Size_IS_BS'!$A$21:$A$41,0), MATCH(C$2,'02_Common_Size_IS_BS'!$B$19:$P$19,0)+MATCH($B15,'02_Common_Size_IS_BS'!$B$20:$D$20,0)-1)</f>
        <v>0.69602040027818557</v>
      </c>
      <c r="D15" s="31" cm="1">
        <f t="array" ref="D15">INDEX('02_Common_Size_IS_BS'!$B$21:$P$41, MATCH("Total Current Assets",'02_Common_Size_IS_BS'!$A$21:$A$41,0), MATCH(D$2,'02_Common_Size_IS_BS'!$B$19:$P$19,0)+MATCH($B15,'02_Common_Size_IS_BS'!$B$20:$D$20,0)-1)</f>
        <v>0.61716706116855613</v>
      </c>
      <c r="E15" s="31" cm="1">
        <f t="array" ref="E15">INDEX('02_Common_Size_IS_BS'!$B$21:$P$41, MATCH("Total Current Assets",'02_Common_Size_IS_BS'!$A$21:$A$41,0), MATCH(E$2,'02_Common_Size_IS_BS'!$B$19:$P$19,0)+MATCH($B15,'02_Common_Size_IS_BS'!$B$20:$D$20,0)-1)</f>
        <v>0.56354682708185888</v>
      </c>
      <c r="F15" s="31" cm="1">
        <f t="array" ref="F15">INDEX('02_Common_Size_IS_BS'!$B$21:$P$41, MATCH("Total Current Assets",'02_Common_Size_IS_BS'!$A$21:$A$41,0), MATCH(F$2,'02_Common_Size_IS_BS'!$B$19:$P$19,0)+MATCH($B15,'02_Common_Size_IS_BS'!$B$20:$D$20,0)-1)</f>
        <v>0.54402884182063993</v>
      </c>
      <c r="G15" s="31" cm="1">
        <f t="array" ref="G15">INDEX('02_Common_Size_IS_BS'!$B$21:$P$41, MATCH("Total Current Assets",'02_Common_Size_IS_BS'!$A$21:$A$41,0), MATCH(G$2,'02_Common_Size_IS_BS'!$B$19:$P$19,0)+MATCH($B15,'02_Common_Size_IS_BS'!$B$20:$D$20,0)-1)</f>
        <v>0.56205541532813219</v>
      </c>
    </row>
    <row r="16" spans="1:14" x14ac:dyDescent="0.2">
      <c r="A16" s="37" t="s">
        <v>59</v>
      </c>
      <c r="B16" s="1" t="s">
        <v>151</v>
      </c>
      <c r="C16" s="31" cm="1">
        <f t="array" ref="C16">INDEX('02_Common_Size_IS_BS'!$B$21:$P$41, MATCH("Total Current Assets",'02_Common_Size_IS_BS'!$A$21:$A$41,0), MATCH(C$2,'02_Common_Size_IS_BS'!$B$19:$P$19,0)+MATCH($B16,'02_Common_Size_IS_BS'!$B$20:$D$20,0)-1)</f>
        <v>0.39613825909918371</v>
      </c>
      <c r="D16" s="31" cm="1">
        <f t="array" ref="D16">INDEX('02_Common_Size_IS_BS'!$B$21:$P$41, MATCH("Total Current Assets",'02_Common_Size_IS_BS'!$A$21:$A$41,0), MATCH(D$2,'02_Common_Size_IS_BS'!$B$19:$P$19,0)+MATCH($B16,'02_Common_Size_IS_BS'!$B$20:$D$20,0)-1)</f>
        <v>0.39564640501509529</v>
      </c>
      <c r="E16" s="31" cm="1">
        <f t="array" ref="E16">INDEX('02_Common_Size_IS_BS'!$B$21:$P$41, MATCH("Total Current Assets",'02_Common_Size_IS_BS'!$A$21:$A$41,0), MATCH(E$2,'02_Common_Size_IS_BS'!$B$19:$P$19,0)+MATCH($B16,'02_Common_Size_IS_BS'!$B$20:$D$20,0)-1)</f>
        <v>0.39552584954870695</v>
      </c>
      <c r="F16" s="31" cm="1">
        <f t="array" ref="F16">INDEX('02_Common_Size_IS_BS'!$B$21:$P$41, MATCH("Total Current Assets",'02_Common_Size_IS_BS'!$A$21:$A$41,0), MATCH(F$2,'02_Common_Size_IS_BS'!$B$19:$P$19,0)+MATCH($B16,'02_Common_Size_IS_BS'!$B$20:$D$20,0)-1)</f>
        <v>0.38401192407833667</v>
      </c>
      <c r="G16" s="31" cm="1">
        <f t="array" ref="G16">INDEX('02_Common_Size_IS_BS'!$B$21:$P$41, MATCH("Total Current Assets",'02_Common_Size_IS_BS'!$A$21:$A$41,0), MATCH(G$2,'02_Common_Size_IS_BS'!$B$19:$P$19,0)+MATCH($B16,'02_Common_Size_IS_BS'!$B$20:$D$20,0)-1)</f>
        <v>0.39978705581173229</v>
      </c>
    </row>
    <row r="17" spans="1:10" x14ac:dyDescent="0.2">
      <c r="A17" s="38" t="s">
        <v>59</v>
      </c>
      <c r="B17" s="39" t="s">
        <v>152</v>
      </c>
      <c r="C17" s="40" cm="1">
        <f t="array" ref="C17">INDEX('02_Common_Size_IS_BS'!$B$21:$P$41, MATCH("Total Current Assets",'02_Common_Size_IS_BS'!$A$21:$A$41,0), MATCH(C$2,'02_Common_Size_IS_BS'!$B$19:$P$19,0)+MATCH($B17,'02_Common_Size_IS_BS'!$B$20:$D$20,0)-1)</f>
        <v>0.37900792457184801</v>
      </c>
      <c r="D17" s="40" cm="1">
        <f t="array" ref="D17">INDEX('02_Common_Size_IS_BS'!$B$21:$P$41, MATCH("Total Current Assets",'02_Common_Size_IS_BS'!$A$21:$A$41,0), MATCH(D$2,'02_Common_Size_IS_BS'!$B$19:$P$19,0)+MATCH($B17,'02_Common_Size_IS_BS'!$B$20:$D$20,0)-1)</f>
        <v>0.39743587470501568</v>
      </c>
      <c r="E17" s="40" cm="1">
        <f t="array" ref="E17">INDEX('02_Common_Size_IS_BS'!$B$21:$P$41, MATCH("Total Current Assets",'02_Common_Size_IS_BS'!$A$21:$A$41,0), MATCH(E$2,'02_Common_Size_IS_BS'!$B$19:$P$19,0)+MATCH($B17,'02_Common_Size_IS_BS'!$B$20:$D$20,0)-1)</f>
        <v>0.3991817942559025</v>
      </c>
      <c r="F17" s="40" cm="1">
        <f t="array" ref="F17">INDEX('02_Common_Size_IS_BS'!$B$21:$P$41, MATCH("Total Current Assets",'02_Common_Size_IS_BS'!$A$21:$A$41,0), MATCH(F$2,'02_Common_Size_IS_BS'!$B$19:$P$19,0)+MATCH($B17,'02_Common_Size_IS_BS'!$B$20:$D$20,0)-1)</f>
        <v>0.38746889343582369</v>
      </c>
      <c r="G17" s="40" cm="1">
        <f t="array" ref="G17">INDEX('02_Common_Size_IS_BS'!$B$21:$P$41, MATCH("Total Current Assets",'02_Common_Size_IS_BS'!$A$21:$A$41,0), MATCH(G$2,'02_Common_Size_IS_BS'!$B$19:$P$19,0)+MATCH($B17,'02_Common_Size_IS_BS'!$B$20:$D$20,0)-1)</f>
        <v>0.38460464228579588</v>
      </c>
    </row>
    <row r="18" spans="1:10" x14ac:dyDescent="0.2">
      <c r="A18" s="37" t="s">
        <v>53</v>
      </c>
      <c r="B18" s="1" t="s">
        <v>150</v>
      </c>
      <c r="C18" s="31" cm="1">
        <f t="array" ref="C18">INDEX('02_Common_Size_IS_BS'!$B$21:$P$41, MATCH("Total Equity",'02_Common_Size_IS_BS'!$A$21:$A$41,0), MATCH(C$2,'02_Common_Size_IS_BS'!$B$19:$P$19,0)+MATCH($B18,'02_Common_Size_IS_BS'!$B$20:$D$20,0)-1)</f>
        <v>0.29251217062050844</v>
      </c>
      <c r="D18" s="31" cm="1">
        <f t="array" ref="D18">INDEX('02_Common_Size_IS_BS'!$B$21:$P$41, MATCH("Total Equity",'02_Common_Size_IS_BS'!$A$21:$A$41,0), MATCH(D$2,'02_Common_Size_IS_BS'!$B$19:$P$19,0)+MATCH($B18,'02_Common_Size_IS_BS'!$B$20:$D$20,0)-1)</f>
        <v>0.27986102459753887</v>
      </c>
      <c r="E18" s="31" cm="1">
        <f t="array" ref="E18">INDEX('02_Common_Size_IS_BS'!$B$21:$P$41, MATCH("Total Equity",'02_Common_Size_IS_BS'!$A$21:$A$41,0), MATCH(E$2,'02_Common_Size_IS_BS'!$B$19:$P$19,0)+MATCH($B18,'02_Common_Size_IS_BS'!$B$20:$D$20,0)-1)</f>
        <v>0.26439018636470868</v>
      </c>
      <c r="F18" s="31" cm="1">
        <f t="array" ref="F18">INDEX('02_Common_Size_IS_BS'!$B$21:$P$41, MATCH("Total Equity",'02_Common_Size_IS_BS'!$A$21:$A$41,0), MATCH(F$2,'02_Common_Size_IS_BS'!$B$19:$P$19,0)+MATCH($B18,'02_Common_Size_IS_BS'!$B$20:$D$20,0)-1)</f>
        <v>0.25048820790145709</v>
      </c>
      <c r="G18" s="31" cm="1">
        <f t="array" ref="G18">INDEX('02_Common_Size_IS_BS'!$B$21:$P$41, MATCH("Total Equity",'02_Common_Size_IS_BS'!$A$21:$A$41,0), MATCH(G$2,'02_Common_Size_IS_BS'!$B$19:$P$19,0)+MATCH($B18,'02_Common_Size_IS_BS'!$B$20:$D$20,0)-1)</f>
        <v>0.24024782010096374</v>
      </c>
    </row>
    <row r="19" spans="1:10" x14ac:dyDescent="0.2">
      <c r="A19" s="37" t="s">
        <v>53</v>
      </c>
      <c r="B19" s="1" t="s">
        <v>151</v>
      </c>
      <c r="C19" s="31" cm="1">
        <f t="array" ref="C19">INDEX('02_Common_Size_IS_BS'!$B$21:$P$41, MATCH("Total Equity",'02_Common_Size_IS_BS'!$A$21:$A$41,0), MATCH(C$2,'02_Common_Size_IS_BS'!$B$19:$P$19,0)+MATCH($B19,'02_Common_Size_IS_BS'!$B$20:$D$20,0)-1)</f>
        <v>0.28159457493524637</v>
      </c>
      <c r="D19" s="31" cm="1">
        <f t="array" ref="D19">INDEX('02_Common_Size_IS_BS'!$B$21:$P$41, MATCH("Total Equity",'02_Common_Size_IS_BS'!$A$21:$A$41,0), MATCH(D$2,'02_Common_Size_IS_BS'!$B$19:$P$19,0)+MATCH($B19,'02_Common_Size_IS_BS'!$B$20:$D$20,0)-1)</f>
        <v>0.33282695229121395</v>
      </c>
      <c r="E19" s="31" cm="1">
        <f t="array" ref="E19">INDEX('02_Common_Size_IS_BS'!$B$21:$P$41, MATCH("Total Equity",'02_Common_Size_IS_BS'!$A$21:$A$41,0), MATCH(E$2,'02_Common_Size_IS_BS'!$B$19:$P$19,0)+MATCH($B19,'02_Common_Size_IS_BS'!$B$20:$D$20,0)-1)</f>
        <v>0.35288302879607031</v>
      </c>
      <c r="F19" s="31" cm="1">
        <f t="array" ref="F19">INDEX('02_Common_Size_IS_BS'!$B$21:$P$41, MATCH("Total Equity",'02_Common_Size_IS_BS'!$A$21:$A$41,0), MATCH(F$2,'02_Common_Size_IS_BS'!$B$19:$P$19,0)+MATCH($B19,'02_Common_Size_IS_BS'!$B$20:$D$20,0)-1)</f>
        <v>0.35330742236142032</v>
      </c>
      <c r="G19" s="31" cm="1">
        <f t="array" ref="G19">INDEX('02_Common_Size_IS_BS'!$B$21:$P$41, MATCH("Total Equity",'02_Common_Size_IS_BS'!$A$21:$A$41,0), MATCH(G$2,'02_Common_Size_IS_BS'!$B$19:$P$19,0)+MATCH($B19,'02_Common_Size_IS_BS'!$B$20:$D$20,0)-1)</f>
        <v>0.36889449085201159</v>
      </c>
    </row>
    <row r="20" spans="1:10" x14ac:dyDescent="0.2">
      <c r="A20" s="38" t="s">
        <v>53</v>
      </c>
      <c r="B20" s="39" t="s">
        <v>152</v>
      </c>
      <c r="C20" s="40" cm="1">
        <f t="array" ref="C20">INDEX('02_Common_Size_IS_BS'!$B$21:$P$41, MATCH("Total Equity",'02_Common_Size_IS_BS'!$A$21:$A$41,0), MATCH(C$2,'02_Common_Size_IS_BS'!$B$19:$P$19,0)+MATCH($B20,'02_Common_Size_IS_BS'!$B$20:$D$20,0)-1)</f>
        <v>0.2764879145076985</v>
      </c>
      <c r="D20" s="40" cm="1">
        <f t="array" ref="D20">INDEX('02_Common_Size_IS_BS'!$B$21:$P$41, MATCH("Total Equity",'02_Common_Size_IS_BS'!$A$21:$A$41,0), MATCH(D$2,'02_Common_Size_IS_BS'!$B$19:$P$19,0)+MATCH($B20,'02_Common_Size_IS_BS'!$B$20:$D$20,0)-1)</f>
        <v>0.31617710939286858</v>
      </c>
      <c r="E20" s="40" cm="1">
        <f t="array" ref="E20">INDEX('02_Common_Size_IS_BS'!$B$21:$P$41, MATCH("Total Equity",'02_Common_Size_IS_BS'!$A$21:$A$41,0), MATCH(E$2,'02_Common_Size_IS_BS'!$B$19:$P$19,0)+MATCH($B20,'02_Common_Size_IS_BS'!$B$20:$D$20,0)-1)</f>
        <v>0.31634179412264424</v>
      </c>
      <c r="F20" s="40" cm="1">
        <f t="array" ref="F20">INDEX('02_Common_Size_IS_BS'!$B$21:$P$41, MATCH("Total Equity",'02_Common_Size_IS_BS'!$A$21:$A$41,0), MATCH(F$2,'02_Common_Size_IS_BS'!$B$19:$P$19,0)+MATCH($B20,'02_Common_Size_IS_BS'!$B$20:$D$20,0)-1)</f>
        <v>0.31083811946500661</v>
      </c>
      <c r="G20" s="40" cm="1">
        <f t="array" ref="G20">INDEX('02_Common_Size_IS_BS'!$B$21:$P$41, MATCH("Total Equity",'02_Common_Size_IS_BS'!$A$21:$A$41,0), MATCH(G$2,'02_Common_Size_IS_BS'!$B$19:$P$19,0)+MATCH($B20,'02_Common_Size_IS_BS'!$B$20:$D$20,0)-1)</f>
        <v>0.31507276555665381</v>
      </c>
    </row>
    <row r="21" spans="1:10" x14ac:dyDescent="0.2">
      <c r="A21" s="37" t="s">
        <v>181</v>
      </c>
      <c r="B21" s="1" t="s">
        <v>150</v>
      </c>
      <c r="C21" s="31" cm="1">
        <f t="array" ref="C21">INDEX('03_Ratios'!$B$21:$P$25, MATCH("Net Profit Margin",'03_Ratios'!$A$21:$A$25,0), MATCH(C$2,'03_Ratios'!$B$19:$P$19,0)+MATCH($B21,'03_Ratios'!$B$20:$D$20,0)-1)</f>
        <v>5.5463931500350179E-2</v>
      </c>
      <c r="D21" s="31" cm="1">
        <f t="array" ref="D21">INDEX('03_Ratios'!$B$21:$P$25, MATCH("Net Profit Margin",'03_Ratios'!$A$21:$A$25,0), MATCH(D$2,'03_Ratios'!$B$19:$P$19,0)+MATCH($B21,'03_Ratios'!$B$20:$D$20,0)-1)</f>
        <v>6.3871992874998729E-2</v>
      </c>
      <c r="E21" s="31" cm="1">
        <f t="array" ref="E21">INDEX('03_Ratios'!$B$21:$P$25, MATCH("Net Profit Margin",'03_Ratios'!$A$21:$A$25,0), MATCH(E$2,'03_Ratios'!$B$19:$P$19,0)+MATCH($B21,'03_Ratios'!$B$20:$D$20,0)-1)</f>
        <v>4.0473144594619648E-2</v>
      </c>
      <c r="F21" s="31" cm="1">
        <f t="array" ref="F21">INDEX('03_Ratios'!$B$21:$P$25, MATCH("Net Profit Margin",'03_Ratios'!$A$21:$A$25,0), MATCH(F$2,'03_Ratios'!$B$19:$P$19,0)+MATCH($B21,'03_Ratios'!$B$20:$D$20,0)-1)</f>
        <v>3.3460884757446567E-2</v>
      </c>
      <c r="G21" s="31" cm="1">
        <f t="array" ref="G21">INDEX('03_Ratios'!$B$21:$P$25, MATCH("Net Profit Margin",'03_Ratios'!$A$21:$A$25,0), MATCH(G$2,'03_Ratios'!$B$19:$P$19,0)+MATCH($B21,'03_Ratios'!$B$20:$D$20,0)-1)</f>
        <v>3.9744952178533473E-2</v>
      </c>
    </row>
    <row r="22" spans="1:10" x14ac:dyDescent="0.2">
      <c r="A22" s="37" t="s">
        <v>181</v>
      </c>
      <c r="B22" s="1" t="s">
        <v>151</v>
      </c>
      <c r="C22" s="31" cm="1">
        <f t="array" ref="C22">INDEX('03_Ratios'!$B$21:$P$25, MATCH("Net Profit Margin",'03_Ratios'!$A$21:$A$25,0), MATCH(C$2,'03_Ratios'!$B$19:$P$19,0)+MATCH($B22,'03_Ratios'!$B$20:$D$20,0)-1)</f>
        <v>0.17473654335924954</v>
      </c>
      <c r="D22" s="31" cm="1">
        <f t="array" ref="D22">INDEX('03_Ratios'!$B$21:$P$25, MATCH("Net Profit Margin",'03_Ratios'!$A$21:$A$25,0), MATCH(D$2,'03_Ratios'!$B$19:$P$19,0)+MATCH($B22,'03_Ratios'!$B$20:$D$20,0)-1)</f>
        <v>9.8715478912389923E-2</v>
      </c>
      <c r="E22" s="31" cm="1">
        <f t="array" ref="E22">INDEX('03_Ratios'!$B$21:$P$25, MATCH("Net Profit Margin",'03_Ratios'!$A$21:$A$25,0), MATCH(E$2,'03_Ratios'!$B$19:$P$19,0)+MATCH($B22,'03_Ratios'!$B$20:$D$20,0)-1)</f>
        <v>9.4838726520382721E-2</v>
      </c>
      <c r="F22" s="31" cm="1">
        <f t="array" ref="F22">INDEX('03_Ratios'!$B$21:$P$25, MATCH("Net Profit Margin",'03_Ratios'!$A$21:$A$25,0), MATCH(F$2,'03_Ratios'!$B$19:$P$19,0)+MATCH($B22,'03_Ratios'!$B$20:$D$20,0)-1)</f>
        <v>7.1493330769125105E-2</v>
      </c>
      <c r="G22" s="31" cm="1">
        <f t="array" ref="G22">INDEX('03_Ratios'!$B$21:$P$25, MATCH("Net Profit Margin",'03_Ratios'!$A$21:$A$25,0), MATCH(G$2,'03_Ratios'!$B$19:$P$19,0)+MATCH($B22,'03_Ratios'!$B$20:$D$20,0)-1)</f>
        <v>4.0320994750934092E-2</v>
      </c>
    </row>
    <row r="23" spans="1:10" x14ac:dyDescent="0.2">
      <c r="A23" s="38" t="s">
        <v>181</v>
      </c>
      <c r="B23" s="39" t="s">
        <v>152</v>
      </c>
      <c r="C23" s="40" cm="1">
        <f t="array" ref="C23">INDEX('03_Ratios'!$B$21:$P$25, MATCH("Net Profit Margin",'03_Ratios'!$A$21:$A$25,0), MATCH(C$2,'03_Ratios'!$B$19:$P$19,0)+MATCH($B23,'03_Ratios'!$B$20:$D$20,0)-1)</f>
        <v>6.1658673061550762E-2</v>
      </c>
      <c r="D23" s="40" cm="1">
        <f t="array" ref="D23">INDEX('03_Ratios'!$B$21:$P$25, MATCH("Net Profit Margin",'03_Ratios'!$A$21:$A$25,0), MATCH(D$2,'03_Ratios'!$B$19:$P$19,0)+MATCH($B23,'03_Ratios'!$B$20:$D$20,0)-1)</f>
        <v>5.6814191005196205E-2</v>
      </c>
      <c r="E23" s="40" cm="1">
        <f t="array" ref="E23">INDEX('03_Ratios'!$B$21:$P$25, MATCH("Net Profit Margin",'03_Ratios'!$A$21:$A$25,0), MATCH(E$2,'03_Ratios'!$B$19:$P$19,0)+MATCH($B23,'03_Ratios'!$B$20:$D$20,0)-1)</f>
        <v>5.5627955467848232E-2</v>
      </c>
      <c r="F23" s="40" cm="1">
        <f t="array" ref="F23">INDEX('03_Ratios'!$B$21:$P$25, MATCH("Net Profit Margin",'03_Ratios'!$A$21:$A$25,0), MATCH(F$2,'03_Ratios'!$B$19:$P$19,0)+MATCH($B23,'03_Ratios'!$B$20:$D$20,0)-1)</f>
        <v>3.8178872406485632E-2</v>
      </c>
      <c r="G23" s="40" cm="1">
        <f t="array" ref="G23">INDEX('03_Ratios'!$B$21:$P$25, MATCH("Net Profit Margin",'03_Ratios'!$A$21:$A$25,0), MATCH(G$2,'03_Ratios'!$B$19:$P$19,0)+MATCH($B23,'03_Ratios'!$B$20:$D$20,0)-1)</f>
        <v>2.1449894847365591E-2</v>
      </c>
    </row>
    <row r="24" spans="1:10" x14ac:dyDescent="0.2">
      <c r="A24" s="37" t="s">
        <v>185</v>
      </c>
      <c r="B24" s="1" t="s">
        <v>150</v>
      </c>
      <c r="C24" s="31" cm="1">
        <f t="array" ref="C24">INDEX('03_Ratios'!$B$21:$P$25, MATCH("Asset Turnover",'03_Ratios'!$A$21:$A$25,0), MATCH(C$2,'03_Ratios'!$B$19:$P$19,0)+MATCH($B24,'03_Ratios'!$B$20:$D$20,0)-1)</f>
        <v>1.4471535412154155</v>
      </c>
      <c r="D24" s="31" cm="1">
        <f t="array" ref="D24">INDEX('03_Ratios'!$B$21:$P$25, MATCH("Asset Turnover",'03_Ratios'!$A$21:$A$25,0), MATCH(D$2,'03_Ratios'!$B$19:$P$19,0)+MATCH($B24,'03_Ratios'!$B$20:$D$20,0)-1)</f>
        <v>1.4429856587901977</v>
      </c>
      <c r="E24" s="31" cm="1">
        <f t="array" ref="E24">INDEX('03_Ratios'!$B$21:$P$25, MATCH("Asset Turnover",'03_Ratios'!$A$21:$A$25,0), MATCH(E$2,'03_Ratios'!$B$19:$P$19,0)+MATCH($B24,'03_Ratios'!$B$20:$D$20,0)-1)</f>
        <v>1.5403199897192059</v>
      </c>
      <c r="F24" s="31" cm="1">
        <f t="array" ref="F24">INDEX('03_Ratios'!$B$21:$P$25, MATCH("Asset Turnover",'03_Ratios'!$A$21:$A$25,0), MATCH(F$2,'03_Ratios'!$B$19:$P$19,0)+MATCH($B24,'03_Ratios'!$B$20:$D$20,0)-1)</f>
        <v>1.5672872300846763</v>
      </c>
      <c r="G24" s="31" cm="1">
        <f t="array" ref="G24">INDEX('03_Ratios'!$B$21:$P$25, MATCH("Asset Turnover",'03_Ratios'!$A$21:$A$25,0), MATCH(G$2,'03_Ratios'!$B$19:$P$19,0)+MATCH($B24,'03_Ratios'!$B$20:$D$20,0)-1)</f>
        <v>1.4498378552876785</v>
      </c>
    </row>
    <row r="25" spans="1:10" x14ac:dyDescent="0.2">
      <c r="A25" s="37" t="s">
        <v>185</v>
      </c>
      <c r="B25" s="1" t="s">
        <v>151</v>
      </c>
      <c r="C25" s="31" cm="1">
        <f t="array" ref="C25">INDEX('03_Ratios'!$B$21:$P$25, MATCH("Asset Turnover",'03_Ratios'!$A$21:$A$25,0), MATCH(C$2,'03_Ratios'!$B$19:$P$19,0)+MATCH($B25,'03_Ratios'!$B$20:$D$20,0)-1)</f>
        <v>0.49083890550765441</v>
      </c>
      <c r="D25" s="31" cm="1">
        <f t="array" ref="D25">INDEX('03_Ratios'!$B$21:$P$25, MATCH("Asset Turnover",'03_Ratios'!$A$21:$A$25,0), MATCH(D$2,'03_Ratios'!$B$19:$P$19,0)+MATCH($B25,'03_Ratios'!$B$20:$D$20,0)-1)</f>
        <v>0.57715938951150914</v>
      </c>
      <c r="E25" s="31" cm="1">
        <f t="array" ref="E25">INDEX('03_Ratios'!$B$21:$P$25, MATCH("Asset Turnover",'03_Ratios'!$A$21:$A$25,0), MATCH(E$2,'03_Ratios'!$B$19:$P$19,0)+MATCH($B25,'03_Ratios'!$B$20:$D$20,0)-1)</f>
        <v>0.58587824570728264</v>
      </c>
      <c r="F25" s="31" cm="1">
        <f t="array" ref="F25">INDEX('03_Ratios'!$B$21:$P$25, MATCH("Asset Turnover",'03_Ratios'!$A$21:$A$25,0), MATCH(F$2,'03_Ratios'!$B$19:$P$19,0)+MATCH($B25,'03_Ratios'!$B$20:$D$20,0)-1)</f>
        <v>0.55145900248469792</v>
      </c>
      <c r="G25" s="31" cm="1">
        <f t="array" ref="G25">INDEX('03_Ratios'!$B$21:$P$25, MATCH("Asset Turnover",'03_Ratios'!$A$21:$A$25,0), MATCH(G$2,'03_Ratios'!$B$19:$P$19,0)+MATCH($B25,'03_Ratios'!$B$20:$D$20,0)-1)</f>
        <v>0.50805032316571752</v>
      </c>
    </row>
    <row r="26" spans="1:10" x14ac:dyDescent="0.2">
      <c r="A26" s="38" t="s">
        <v>185</v>
      </c>
      <c r="B26" s="39" t="s">
        <v>152</v>
      </c>
      <c r="C26" s="40" cm="1">
        <f t="array" ref="C26">INDEX('03_Ratios'!$B$21:$P$25, MATCH("Asset Turnover",'03_Ratios'!$A$21:$A$25,0), MATCH(C$2,'03_Ratios'!$B$19:$P$19,0)+MATCH($B26,'03_Ratios'!$B$20:$D$20,0)-1)</f>
        <v>0.487851008508145</v>
      </c>
      <c r="D26" s="40" cm="1">
        <f t="array" ref="D26">INDEX('03_Ratios'!$B$21:$P$25, MATCH("Asset Turnover",'03_Ratios'!$A$21:$A$25,0), MATCH(D$2,'03_Ratios'!$B$19:$P$19,0)+MATCH($B26,'03_Ratios'!$B$20:$D$20,0)-1)</f>
        <v>0.51078964179743769</v>
      </c>
      <c r="E26" s="40" cm="1">
        <f t="array" ref="E26">INDEX('03_Ratios'!$B$21:$P$25, MATCH("Asset Turnover",'03_Ratios'!$A$21:$A$25,0), MATCH(E$2,'03_Ratios'!$B$19:$P$19,0)+MATCH($B26,'03_Ratios'!$B$20:$D$20,0)-1)</f>
        <v>0.55358564556564127</v>
      </c>
      <c r="F26" s="40" cm="1">
        <f t="array" ref="F26">INDEX('03_Ratios'!$B$21:$P$25, MATCH("Asset Turnover",'03_Ratios'!$A$21:$A$25,0), MATCH(F$2,'03_Ratios'!$B$19:$P$19,0)+MATCH($B26,'03_Ratios'!$B$20:$D$20,0)-1)</f>
        <v>0.52650775232456215</v>
      </c>
      <c r="G26" s="40" cm="1">
        <f t="array" ref="G26">INDEX('03_Ratios'!$B$21:$P$25, MATCH("Asset Turnover",'03_Ratios'!$A$21:$A$25,0), MATCH(G$2,'03_Ratios'!$B$19:$P$19,0)+MATCH($B26,'03_Ratios'!$B$20:$D$20,0)-1)</f>
        <v>0.50402388654205665</v>
      </c>
    </row>
    <row r="27" spans="1:10" x14ac:dyDescent="0.2">
      <c r="A27" s="37" t="s">
        <v>199</v>
      </c>
      <c r="B27" s="1" t="s">
        <v>150</v>
      </c>
      <c r="C27" s="31" cm="1">
        <f t="array" ref="C27">INDEX('03_Ratios'!$B$21:$P$25, MATCH("Return on Equity",'03_Ratios'!$A$21:$A$25,0), MATCH(C$2,'03_Ratios'!$B$19:$P$19,0)+MATCH($B27,'03_Ratios'!$B$20:$D$20,0)-1)</f>
        <v>0.27439824028584714</v>
      </c>
      <c r="D27" s="31" cm="1">
        <f t="array" ref="D27">INDEX('03_Ratios'!$B$21:$P$25, MATCH("Return on Equity",'03_Ratios'!$A$21:$A$25,0), MATCH(D$2,'03_Ratios'!$B$19:$P$19,0)+MATCH($B27,'03_Ratios'!$B$20:$D$20,0)-1)</f>
        <v>0.329329065558575</v>
      </c>
      <c r="E27" s="31" cm="1">
        <f t="array" ref="E27">INDEX('03_Ratios'!$B$21:$P$25, MATCH("Return on Equity",'03_Ratios'!$A$21:$A$25,0), MATCH(E$2,'03_Ratios'!$B$19:$P$19,0)+MATCH($B27,'03_Ratios'!$B$20:$D$20,0)-1)</f>
        <v>0.23579390189578514</v>
      </c>
      <c r="F27" s="31" cm="1">
        <f t="array" ref="F27">INDEX('03_Ratios'!$B$21:$P$25, MATCH("Return on Equity",'03_Ratios'!$A$21:$A$25,0), MATCH(F$2,'03_Ratios'!$B$19:$P$19,0)+MATCH($B27,'03_Ratios'!$B$20:$D$20,0)-1)</f>
        <v>0.20936241999987551</v>
      </c>
      <c r="G27" s="31" cm="1">
        <f t="array" ref="G27">INDEX('03_Ratios'!$B$21:$P$25, MATCH("Return on Equity",'03_Ratios'!$A$21:$A$25,0), MATCH(G$2,'03_Ratios'!$B$19:$P$19,0)+MATCH($B27,'03_Ratios'!$B$20:$D$20,0)-1)</f>
        <v>0.23985123444957812</v>
      </c>
    </row>
    <row r="28" spans="1:10" x14ac:dyDescent="0.2">
      <c r="A28" s="37" t="s">
        <v>199</v>
      </c>
      <c r="B28" s="1" t="s">
        <v>151</v>
      </c>
      <c r="C28" s="31" cm="1">
        <f t="array" ref="C28">INDEX('03_Ratios'!$B$21:$P$25, MATCH("Return on Equity",'03_Ratios'!$A$21:$A$25,0), MATCH(C$2,'03_Ratios'!$B$19:$P$19,0)+MATCH($B28,'03_Ratios'!$B$20:$D$20,0)-1)</f>
        <v>0.30457793341497208</v>
      </c>
      <c r="D28" s="31" cm="1">
        <f t="array" ref="D28">INDEX('03_Ratios'!$B$21:$P$25, MATCH("Return on Equity",'03_Ratios'!$A$21:$A$25,0), MATCH(D$2,'03_Ratios'!$B$19:$P$19,0)+MATCH($B28,'03_Ratios'!$B$20:$D$20,0)-1)</f>
        <v>0.17118374924924989</v>
      </c>
      <c r="E28" s="31" cm="1">
        <f t="array" ref="E28">INDEX('03_Ratios'!$B$21:$P$25, MATCH("Return on Equity",'03_Ratios'!$A$21:$A$25,0), MATCH(E$2,'03_Ratios'!$B$19:$P$19,0)+MATCH($B28,'03_Ratios'!$B$20:$D$20,0)-1)</f>
        <v>0.15745712370595399</v>
      </c>
      <c r="F28" s="31" cm="1">
        <f t="array" ref="F28">INDEX('03_Ratios'!$B$21:$P$25, MATCH("Return on Equity",'03_Ratios'!$A$21:$A$25,0), MATCH(F$2,'03_Ratios'!$B$19:$P$19,0)+MATCH($B28,'03_Ratios'!$B$20:$D$20,0)-1)</f>
        <v>0.11159018569929542</v>
      </c>
      <c r="G28" s="31" cm="1">
        <f t="array" ref="G28">INDEX('03_Ratios'!$B$21:$P$25, MATCH("Return on Equity",'03_Ratios'!$A$21:$A$25,0), MATCH(G$2,'03_Ratios'!$B$19:$P$19,0)+MATCH($B28,'03_Ratios'!$B$20:$D$20,0)-1)</f>
        <v>5.5531039149601218E-2</v>
      </c>
    </row>
    <row r="29" spans="1:10" x14ac:dyDescent="0.2">
      <c r="A29" s="38" t="s">
        <v>199</v>
      </c>
      <c r="B29" s="39" t="s">
        <v>152</v>
      </c>
      <c r="C29" s="40" cm="1">
        <f t="array" ref="C29">INDEX('03_Ratios'!$B$21:$P$25, MATCH("Return on Equity",'03_Ratios'!$A$21:$A$25,0), MATCH(C$2,'03_Ratios'!$B$19:$P$19,0)+MATCH($B29,'03_Ratios'!$B$20:$D$20,0)-1)</f>
        <v>0.10879407112571635</v>
      </c>
      <c r="D29" s="40" cm="1">
        <f t="array" ref="D29">INDEX('03_Ratios'!$B$21:$P$25, MATCH("Return on Equity",'03_Ratios'!$A$21:$A$25,0), MATCH(D$2,'03_Ratios'!$B$19:$P$19,0)+MATCH($B29,'03_Ratios'!$B$20:$D$20,0)-1)</f>
        <v>9.1784317746090208E-2</v>
      </c>
      <c r="E29" s="40" cm="1">
        <f t="array" ref="E29">INDEX('03_Ratios'!$B$21:$P$25, MATCH("Return on Equity",'03_Ratios'!$A$21:$A$25,0), MATCH(E$2,'03_Ratios'!$B$19:$P$19,0)+MATCH($B29,'03_Ratios'!$B$20:$D$20,0)-1)</f>
        <v>9.7346725002218623E-2</v>
      </c>
      <c r="F29" s="40" cm="1">
        <f t="array" ref="F29">INDEX('03_Ratios'!$B$21:$P$25, MATCH("Return on Equity",'03_Ratios'!$A$21:$A$25,0), MATCH(F$2,'03_Ratios'!$B$19:$P$19,0)+MATCH($B29,'03_Ratios'!$B$20:$D$20,0)-1)</f>
        <v>6.4668620218209669E-2</v>
      </c>
      <c r="G29" s="40" cm="1">
        <f t="array" ref="G29">INDEX('03_Ratios'!$B$21:$P$25, MATCH("Return on Equity",'03_Ratios'!$A$21:$A$25,0), MATCH(G$2,'03_Ratios'!$B$19:$P$19,0)+MATCH($B29,'03_Ratios'!$B$20:$D$20,0)-1)</f>
        <v>3.4313531821091814E-2</v>
      </c>
    </row>
    <row r="31" spans="1:10" x14ac:dyDescent="0.2">
      <c r="A31" s="41" t="s">
        <v>203</v>
      </c>
      <c r="B31" s="28" t="s">
        <v>201</v>
      </c>
      <c r="C31" s="41">
        <v>2021</v>
      </c>
      <c r="D31" s="41">
        <v>2022</v>
      </c>
      <c r="E31" s="41">
        <v>2023</v>
      </c>
      <c r="F31" s="41">
        <v>2024</v>
      </c>
      <c r="G31" s="41">
        <v>2025</v>
      </c>
      <c r="I31" s="2" t="s">
        <v>208</v>
      </c>
      <c r="J31" s="2" t="s">
        <v>206</v>
      </c>
    </row>
    <row r="32" spans="1:10" x14ac:dyDescent="0.2">
      <c r="A32" s="37" t="s">
        <v>204</v>
      </c>
      <c r="B32" s="1" t="s">
        <v>150</v>
      </c>
      <c r="C32" s="30">
        <f>('01_All_Raw_Data'!N4/'01_All_Raw_Data'!Q4)-1</f>
        <v>0.17971748400852872</v>
      </c>
      <c r="D32" s="30">
        <f>('01_All_Raw_Data'!K4/'01_All_Raw_Data'!N4)-1</f>
        <v>0.11613537265887985</v>
      </c>
      <c r="E32" s="30">
        <f>('01_All_Raw_Data'!H4/'01_All_Raw_Data'!K4)-1</f>
        <v>9.1764753509366637E-2</v>
      </c>
      <c r="F32" s="30">
        <f>('01_All_Raw_Data'!E4/'01_All_Raw_Data'!H4)-1</f>
        <v>-2.3703580102712452E-2</v>
      </c>
      <c r="G32" s="30">
        <f>('01_All_Raw_Data'!B4/'01_All_Raw_Data'!E4)-1</f>
        <v>-6.1832372741342789E-2</v>
      </c>
    </row>
    <row r="33" spans="1:14" x14ac:dyDescent="0.2">
      <c r="A33" s="37" t="s">
        <v>204</v>
      </c>
      <c r="B33" s="1" t="s">
        <v>151</v>
      </c>
      <c r="C33" s="30">
        <f>('01_All_Raw_Data'!O4/'01_All_Raw_Data'!R4)-1</f>
        <v>9.9484307510387726E-2</v>
      </c>
      <c r="D33" s="30">
        <f>('01_All_Raw_Data'!L4/'01_All_Raw_Data'!O4)-1</f>
        <v>0.12042451808533672</v>
      </c>
      <c r="E33" s="30">
        <f>('01_All_Raw_Data'!I4/'01_All_Raw_Data'!L4)-1</f>
        <v>2.1337581740735967E-2</v>
      </c>
      <c r="F33" s="30">
        <f>('01_All_Raw_Data'!F4/'01_All_Raw_Data'!I4)-1</f>
        <v>-4.9759166677544431E-2</v>
      </c>
      <c r="G33" s="30">
        <f>('01_All_Raw_Data'!C4/'01_All_Raw_Data'!F4)-1</f>
        <v>-9.1899391458439172E-2</v>
      </c>
      <c r="J33" s="28">
        <v>2021</v>
      </c>
      <c r="K33" s="28">
        <v>2022</v>
      </c>
      <c r="L33" s="28">
        <v>2023</v>
      </c>
      <c r="M33" s="28">
        <v>2024</v>
      </c>
      <c r="N33" s="28">
        <v>2025</v>
      </c>
    </row>
    <row r="34" spans="1:14" x14ac:dyDescent="0.2">
      <c r="A34" s="38" t="s">
        <v>204</v>
      </c>
      <c r="B34" s="39" t="s">
        <v>152</v>
      </c>
      <c r="C34" s="42">
        <f>('01_All_Raw_Data'!P4/'01_All_Raw_Data'!S4)-1</f>
        <v>0.1225570251790169</v>
      </c>
      <c r="D34" s="42">
        <f>('01_All_Raw_Data'!M4/'01_All_Raw_Data'!P4)-1</f>
        <v>0.11530775379696245</v>
      </c>
      <c r="E34" s="42">
        <f>('01_All_Raw_Data'!J4/'01_All_Raw_Data'!M4)-1</f>
        <v>0.1549328077405483</v>
      </c>
      <c r="F34" s="42">
        <f>('01_All_Raw_Data'!G4/'01_All_Raw_Data'!J4)-1</f>
        <v>7.3599682267813105E-3</v>
      </c>
      <c r="G34" s="42">
        <f>('01_All_Raw_Data'!D4/'01_All_Raw_Data'!G4)-1</f>
        <v>-8.4489428810803346E-3</v>
      </c>
      <c r="I34" s="43" t="s">
        <v>150</v>
      </c>
      <c r="J34" s="30" cm="1">
        <f t="array" ref="J34">INDEX($C$32:$G$43,MATCH(1,INDEX(($B$32:$B$43=$I34)*($A$32:$A$43=$J$31),0),0),MATCH(J$33,$C$31:$G$31,0))</f>
        <v>0.12257113115891749</v>
      </c>
      <c r="K34" s="30" cm="1">
        <f t="array" ref="K34">INDEX($C$32:$G$43,MATCH(1,INDEX(($B$32:$B$43=$I34)*($A$32:$A$43=$J$31),0),0),MATCH(K$33,$C$31:$G$31,0))</f>
        <v>0.1164979522448033</v>
      </c>
      <c r="L34" s="30" cm="1">
        <f t="array" ref="L34">INDEX($C$32:$G$43,MATCH(1,INDEX(($B$32:$B$43=$I34)*($A$32:$A$43=$J$31),0),0),MATCH(L$33,$C$31:$G$31,0))</f>
        <v>-6.1168556123084583E-2</v>
      </c>
      <c r="M34" s="30" cm="1">
        <f t="array" ref="M34">INDEX($C$32:$G$43,MATCH(1,INDEX(($B$32:$B$43=$I34)*($A$32:$A$43=$J$31),0),0),MATCH(M$33,$C$31:$G$31,0))</f>
        <v>-1.8489030431705578E-2</v>
      </c>
      <c r="N34" s="30" cm="1">
        <f t="array" ref="N34">INDEX($C$32:$G$43,MATCH(1,INDEX(($B$32:$B$43=$I34)*($A$32:$A$43=$J$31),0),0),MATCH(N$33,$C$31:$G$31,0))</f>
        <v>4.7438786240048048E-2</v>
      </c>
    </row>
    <row r="35" spans="1:14" x14ac:dyDescent="0.2">
      <c r="A35" s="37" t="s">
        <v>205</v>
      </c>
      <c r="B35" s="1" t="s">
        <v>150</v>
      </c>
      <c r="C35" s="30">
        <f>'01_All_Raw_Data'!N14/'01_All_Raw_Data'!Q14-1</f>
        <v>1.8848413631022325</v>
      </c>
      <c r="D35" s="30">
        <f>'01_All_Raw_Data'!K14/'01_All_Raw_Data'!N14-1</f>
        <v>0.2853360488798371</v>
      </c>
      <c r="E35" s="30">
        <f>'01_All_Raw_Data'!H14/'01_All_Raw_Data'!K14-1</f>
        <v>-0.30819204563460623</v>
      </c>
      <c r="F35" s="30">
        <f>'01_All_Raw_Data'!E14/'01_All_Raw_Data'!H14-1</f>
        <v>-0.19285387081997252</v>
      </c>
      <c r="G35" s="30">
        <f>'01_All_Raw_Data'!B14/'01_All_Raw_Data'!E14-1</f>
        <v>0.11435868331441545</v>
      </c>
      <c r="I35" s="35" t="s">
        <v>151</v>
      </c>
      <c r="J35" s="30" cm="1">
        <f t="array" ref="J35">INDEX($C$32:$G$43,MATCH(1,INDEX(($B$32:$B$43=$I35)*($A$32:$A$43=$J$31),0),0),MATCH(J$33,$C$31:$G$31,0))</f>
        <v>-9.0663792228517837E-2</v>
      </c>
      <c r="K35" s="30" cm="1">
        <f t="array" ref="K35">INDEX($C$32:$G$43,MATCH(1,INDEX(($B$32:$B$43=$I35)*($A$32:$A$43=$J$31),0),0),MATCH(K$33,$C$31:$G$31,0))</f>
        <v>7.0815260688683601E-4</v>
      </c>
      <c r="L35" s="30" cm="1">
        <f t="array" ref="L35">INDEX($C$32:$G$43,MATCH(1,INDEX(($B$32:$B$43=$I35)*($A$32:$A$43=$J$31),0),0),MATCH(L$33,$C$31:$G$31,0))</f>
        <v>1.1564717420148751E-2</v>
      </c>
      <c r="M35" s="30" cm="1">
        <f t="array" ref="M35">INDEX($C$32:$G$43,MATCH(1,INDEX(($B$32:$B$43=$I35)*($A$32:$A$43=$J$31),0),0),MATCH(M$33,$C$31:$G$31,0))</f>
        <v>7.558303107724873E-3</v>
      </c>
      <c r="N35" s="30" cm="1">
        <f t="array" ref="N35">INDEX($C$32:$G$43,MATCH(1,INDEX(($B$32:$B$43=$I35)*($A$32:$A$43=$J$31),0),0),MATCH(N$33,$C$31:$G$31,0))</f>
        <v>-3.6013735330742258E-2</v>
      </c>
    </row>
    <row r="36" spans="1:14" x14ac:dyDescent="0.2">
      <c r="A36" s="37" t="s">
        <v>205</v>
      </c>
      <c r="B36" s="1" t="s">
        <v>151</v>
      </c>
      <c r="C36" s="30">
        <f>'01_All_Raw_Data'!O14/'01_All_Raw_Data'!R14-1</f>
        <v>4.835869294088301</v>
      </c>
      <c r="D36" s="30">
        <f>'01_All_Raw_Data'!L14/'01_All_Raw_Data'!O14-1</f>
        <v>-0.3670285518892118</v>
      </c>
      <c r="E36" s="30">
        <f>'01_All_Raw_Data'!I14/'01_All_Raw_Data'!L14-1</f>
        <v>-1.8772368154500674E-2</v>
      </c>
      <c r="F36" s="30">
        <f>'01_All_Raw_Data'!F14/'01_All_Raw_Data'!I14-1</f>
        <v>-0.28366939646273481</v>
      </c>
      <c r="G36" s="30">
        <f>'01_All_Raw_Data'!C14/'01_All_Raw_Data'!F14-1</f>
        <v>-0.48784705543279849</v>
      </c>
      <c r="I36" s="36" t="s">
        <v>152</v>
      </c>
      <c r="J36" s="30" cm="1">
        <f t="array" ref="J36">INDEX($C$32:$G$43,MATCH(1,INDEX(($B$32:$B$43=$I36)*($A$32:$A$43=$J$31),0),0),MATCH(J$33,$C$31:$G$31,0))</f>
        <v>6.3355689037122298E-2</v>
      </c>
      <c r="K36" s="30" cm="1">
        <f t="array" ref="K36">INDEX($C$32:$G$43,MATCH(1,INDEX(($B$32:$B$43=$I36)*($A$32:$A$43=$J$31),0),0),MATCH(K$33,$C$31:$G$31,0))</f>
        <v>6.697577982970393E-2</v>
      </c>
      <c r="L36" s="30" cm="1">
        <f t="array" ref="L36">INDEX($C$32:$G$43,MATCH(1,INDEX(($B$32:$B$43=$I36)*($A$32:$A$43=$J$31),0),0),MATCH(L$33,$C$31:$G$31,0))</f>
        <v>6.4404543866896757E-2</v>
      </c>
      <c r="M36" s="30" cm="1">
        <f t="array" ref="M36">INDEX($C$32:$G$43,MATCH(1,INDEX(($B$32:$B$43=$I36)*($A$32:$A$43=$J$31),0),0),MATCH(M$33,$C$31:$G$31,0))</f>
        <v>5.4247773754118489E-2</v>
      </c>
      <c r="N36" s="30" cm="1">
        <f t="array" ref="N36">INDEX($C$32:$G$43,MATCH(1,INDEX(($B$32:$B$43=$I36)*($A$32:$A$43=$J$31),0),0),MATCH(N$33,$C$31:$G$31,0))</f>
        <v>1.8268144508259532E-2</v>
      </c>
    </row>
    <row r="37" spans="1:14" x14ac:dyDescent="0.2">
      <c r="A37" s="38" t="s">
        <v>205</v>
      </c>
      <c r="B37" s="39" t="s">
        <v>152</v>
      </c>
      <c r="C37" s="42">
        <f>'01_All_Raw_Data'!P14/'01_All_Raw_Data'!S14-1</f>
        <v>0.74849824322792702</v>
      </c>
      <c r="D37" s="42">
        <f>'01_All_Raw_Data'!M14/'01_All_Raw_Data'!P14-1</f>
        <v>2.7678745057367005E-2</v>
      </c>
      <c r="E37" s="42">
        <f>'01_All_Raw_Data'!J14/'01_All_Raw_Data'!M14-1</f>
        <v>0.1308187208275513</v>
      </c>
      <c r="F37" s="42">
        <f>'01_All_Raw_Data'!G14/'01_All_Raw_Data'!J14-1</f>
        <v>-0.30862338241856313</v>
      </c>
      <c r="G37" s="42">
        <f>'01_All_Raw_Data'!D14/'01_All_Raw_Data'!G14-1</f>
        <v>-0.4429205324727713</v>
      </c>
    </row>
    <row r="38" spans="1:14" x14ac:dyDescent="0.2">
      <c r="A38" s="37" t="s">
        <v>206</v>
      </c>
      <c r="B38" s="1" t="s">
        <v>150</v>
      </c>
      <c r="C38" s="30">
        <f>'01_All_Raw_Data'!N29/'01_All_Raw_Data'!Q29-1</f>
        <v>0.12257113115891749</v>
      </c>
      <c r="D38" s="30">
        <f>'01_All_Raw_Data'!K29/'01_All_Raw_Data'!N29-1</f>
        <v>0.1164979522448033</v>
      </c>
      <c r="E38" s="30">
        <f>'01_All_Raw_Data'!H29/'01_All_Raw_Data'!K29-1</f>
        <v>-6.1168556123084583E-2</v>
      </c>
      <c r="F38" s="30">
        <f>'01_All_Raw_Data'!E29/'01_All_Raw_Data'!H29-1</f>
        <v>-1.8489030431705578E-2</v>
      </c>
      <c r="G38" s="30">
        <f>'01_All_Raw_Data'!B29/'01_All_Raw_Data'!E29-1</f>
        <v>4.7438786240048048E-2</v>
      </c>
    </row>
    <row r="39" spans="1:14" x14ac:dyDescent="0.2">
      <c r="A39" s="37" t="s">
        <v>206</v>
      </c>
      <c r="B39" s="1" t="s">
        <v>151</v>
      </c>
      <c r="C39" s="30">
        <f>'01_All_Raw_Data'!O29/'01_All_Raw_Data'!R29-1</f>
        <v>-9.0663792228517837E-2</v>
      </c>
      <c r="D39" s="30">
        <f>'01_All_Raw_Data'!L29/'01_All_Raw_Data'!O29-1</f>
        <v>7.0815260688683601E-4</v>
      </c>
      <c r="E39" s="30">
        <f>'01_All_Raw_Data'!I29/'01_All_Raw_Data'!L29-1</f>
        <v>1.1564717420148751E-2</v>
      </c>
      <c r="F39" s="30">
        <f>'01_All_Raw_Data'!F29/'01_All_Raw_Data'!I29-1</f>
        <v>7.558303107724873E-3</v>
      </c>
      <c r="G39" s="30">
        <f>'01_All_Raw_Data'!C29/'01_All_Raw_Data'!F29-1</f>
        <v>-3.6013735330742258E-2</v>
      </c>
    </row>
    <row r="40" spans="1:14" x14ac:dyDescent="0.2">
      <c r="A40" s="38" t="s">
        <v>206</v>
      </c>
      <c r="B40" s="39" t="s">
        <v>152</v>
      </c>
      <c r="C40" s="42">
        <f>'01_All_Raw_Data'!P29/'01_All_Raw_Data'!S29-1</f>
        <v>6.3355689037122298E-2</v>
      </c>
      <c r="D40" s="42">
        <f>'01_All_Raw_Data'!M29/'01_All_Raw_Data'!P29-1</f>
        <v>6.697577982970393E-2</v>
      </c>
      <c r="E40" s="42">
        <f>'01_All_Raw_Data'!J29/'01_All_Raw_Data'!M29-1</f>
        <v>6.4404543866896757E-2</v>
      </c>
      <c r="F40" s="42">
        <f>'01_All_Raw_Data'!G29/'01_All_Raw_Data'!J29-1</f>
        <v>5.4247773754118489E-2</v>
      </c>
      <c r="G40" s="42">
        <f>'01_All_Raw_Data'!D29/'01_All_Raw_Data'!G29-1</f>
        <v>1.8268144508259532E-2</v>
      </c>
    </row>
    <row r="41" spans="1:14" x14ac:dyDescent="0.2">
      <c r="A41" s="37" t="s">
        <v>207</v>
      </c>
      <c r="B41" s="1" t="s">
        <v>150</v>
      </c>
      <c r="C41" s="30">
        <f>'01_All_Raw_Data'!N32/'01_All_Raw_Data'!Q32-1</f>
        <v>0.24807121661721077</v>
      </c>
      <c r="D41" s="30">
        <f>'01_All_Raw_Data'!K32/'01_All_Raw_Data'!N32-1</f>
        <v>6.8209436255085354E-2</v>
      </c>
      <c r="E41" s="30">
        <f>'01_All_Raw_Data'!H32/'01_All_Raw_Data'!K32-1</f>
        <v>-0.11306756355722625</v>
      </c>
      <c r="F41" s="30">
        <f>'01_All_Raw_Data'!E32/'01_All_Raw_Data'!H32-1</f>
        <v>-7.009814856123131E-2</v>
      </c>
      <c r="G41" s="30">
        <f>'01_All_Raw_Data'!B32/'01_All_Raw_Data'!E32-1</f>
        <v>4.6176911544228982E-3</v>
      </c>
    </row>
    <row r="42" spans="1:14" x14ac:dyDescent="0.2">
      <c r="A42" s="37" t="s">
        <v>207</v>
      </c>
      <c r="B42" s="1" t="s">
        <v>151</v>
      </c>
      <c r="C42" s="30">
        <f>'01_All_Raw_Data'!O32/'01_All_Raw_Data'!R32-1</f>
        <v>0.17541125819303427</v>
      </c>
      <c r="D42" s="30">
        <f>'01_All_Raw_Data'!L32/'01_All_Raw_Data'!O32-1</f>
        <v>0.18277365478972762</v>
      </c>
      <c r="E42" s="30">
        <f>'01_All_Raw_Data'!I32/'01_All_Raw_Data'!L32-1</f>
        <v>7.2521377397735121E-2</v>
      </c>
      <c r="F42" s="30">
        <f>'01_All_Raw_Data'!F32/'01_All_Raw_Data'!I32-1</f>
        <v>8.7700396483365584E-3</v>
      </c>
      <c r="G42" s="30">
        <f>'01_All_Raw_Data'!C32/'01_All_Raw_Data'!F32-1</f>
        <v>6.5150058741856309E-3</v>
      </c>
    </row>
    <row r="43" spans="1:14" x14ac:dyDescent="0.2">
      <c r="A43" s="38" t="s">
        <v>207</v>
      </c>
      <c r="B43" s="39" t="s">
        <v>152</v>
      </c>
      <c r="C43" s="42">
        <f>'01_All_Raw_Data'!P32/'01_All_Raw_Data'!S32-1</f>
        <v>0.13488581567442903</v>
      </c>
      <c r="D43" s="42">
        <f>'01_All_Raw_Data'!M32/'01_All_Raw_Data'!P32-1</f>
        <v>0.22013766301298632</v>
      </c>
      <c r="E43" s="42">
        <f>'01_All_Raw_Data'!J32/'01_All_Raw_Data'!M32-1</f>
        <v>6.49589520434255E-2</v>
      </c>
      <c r="F43" s="42">
        <f>'01_All_Raw_Data'!G32/'01_All_Raw_Data'!J32-1</f>
        <v>3.5906103879691731E-2</v>
      </c>
      <c r="G43" s="42">
        <f>'01_All_Raw_Data'!D32/'01_All_Raw_Data'!G32-1</f>
        <v>3.2140333755229289E-2</v>
      </c>
    </row>
  </sheetData>
  <dataValidations count="2">
    <dataValidation type="list" allowBlank="1" showInputMessage="1" showErrorMessage="1" sqref="J2" xr:uid="{2F6128BF-F826-48BA-959D-E9F4AD497C10}">
      <formula1>$A$3:$A$29</formula1>
    </dataValidation>
    <dataValidation type="list" allowBlank="1" showInputMessage="1" showErrorMessage="1" sqref="J31" xr:uid="{E4B742F9-A967-437C-98F2-D7BDA05400D8}">
      <formula1>$A$32:$A$43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2FC48-03AA-4EEA-AB23-CEAF9CD8553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Introduction</vt:lpstr>
      <vt:lpstr>01_Raw_Data_BMW</vt:lpstr>
      <vt:lpstr>01_Raw_Data_Mercedes</vt:lpstr>
      <vt:lpstr>01_Raw_Data_Volkswagen</vt:lpstr>
      <vt:lpstr>01_All_Raw_Data</vt:lpstr>
      <vt:lpstr>02_Common_Size_IS_BS</vt:lpstr>
      <vt:lpstr>02_Common_Size_Output</vt:lpstr>
      <vt:lpstr>03_Ratios</vt:lpstr>
      <vt:lpstr>04_DuPont</vt:lpstr>
      <vt:lpstr>05_Result</vt:lpstr>
      <vt:lpstr>06_Growth</vt:lpstr>
      <vt:lpstr>07_Summary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berk-guenay.tansuker@basf.com</dc:creator>
  <cp:lastModifiedBy>berk-guenay.tansuker@basf.com</cp:lastModifiedBy>
  <dcterms:created xsi:type="dcterms:W3CDTF">2026-05-31T10:47:00Z</dcterms:created>
  <dcterms:modified xsi:type="dcterms:W3CDTF">2026-06-23T18:53:34Z</dcterms:modified>
</cp:coreProperties>
</file>